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antt" sheetId="1" state="visible" r:id="rId3"/>
    <sheet name="Semana a semana" sheetId="2" state="visible" r:id="rId4"/>
    <sheet name="Cómo trabajamos" sheetId="3" state="visible" r:id="rId5"/>
  </sheets>
  <definedNames>
    <definedName function="false" hidden="false" localSheetId="0" name="_xlnm.Print_Titles" vbProcedure="false">Gantt!$3:$4</definedName>
    <definedName function="false" hidden="true" localSheetId="0" name="_xlnm._FilterDatabase" vbProcedure="false">Gantt!$A$4:$P$94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<sst xmlns="http://schemas.openxmlformats.org/spreadsheetml/2006/main" count="713" uniqueCount="355">
  <si>
    <t xml:space="preserve">Grupo Bimbo × Uvicuo · Plan de arranque del piloto de peajes</t>
  </si>
  <si>
    <t xml:space="preserve">Bimbo Sureste y Barcel Lerma  ·  un piloto de un mes en toda la región, las dos operaciones a la par  ·  Versión diaria · 29 de octubre de 2026</t>
  </si>
  <si>
    <r>
      <rPr>
        <sz val="9"/>
        <color rgb="FF0E2A47"/>
        <rFont val="Calibri"/>
        <family val="0"/>
        <charset val="1"/>
      </rPr>
      <t xml:space="preserve">■ </t>
    </r>
    <r>
      <rPr>
        <sz val="7.5"/>
        <color rgb="FF6F6B55"/>
        <rFont val="Calibri"/>
        <family val="0"/>
        <charset val="1"/>
      </rPr>
      <t xml:space="preserve">Uvicuo    </t>
    </r>
    <r>
      <rPr>
        <sz val="9"/>
        <color rgb="FFA4502F"/>
        <rFont val="Calibri"/>
        <family val="0"/>
        <charset val="1"/>
      </rPr>
      <t xml:space="preserve">■ </t>
    </r>
    <r>
      <rPr>
        <sz val="7.5"/>
        <color rgb="FF6F6B55"/>
        <rFont val="Calibri"/>
        <family val="0"/>
        <charset val="1"/>
      </rPr>
      <t xml:space="preserve">Grupo Bimbo    </t>
    </r>
    <r>
      <rPr>
        <sz val="9"/>
        <color rgb="FFB7862B"/>
        <rFont val="Calibri"/>
        <family val="0"/>
        <charset val="1"/>
      </rPr>
      <t xml:space="preserve">■ </t>
    </r>
    <r>
      <rPr>
        <sz val="7.5"/>
        <color rgb="FF6F6B55"/>
        <rFont val="Calibri"/>
        <family val="0"/>
        <charset val="1"/>
      </rPr>
      <t xml:space="preserve">Tesorería    </t>
    </r>
    <r>
      <rPr>
        <sz val="9"/>
        <color rgb="FF2F7F7A"/>
        <rFont val="Calibri"/>
        <family val="0"/>
        <charset val="1"/>
      </rPr>
      <t xml:space="preserve">■ </t>
    </r>
    <r>
      <rPr>
        <sz val="7.5"/>
        <color rgb="FF6F6B55"/>
        <rFont val="Calibri"/>
        <family val="0"/>
        <charset val="1"/>
      </rPr>
      <t xml:space="preserve">Operación Bimbo    </t>
    </r>
    <r>
      <rPr>
        <sz val="9"/>
        <color rgb="FF6B4C8A"/>
        <rFont val="Calibri"/>
        <family val="0"/>
        <charset val="1"/>
      </rPr>
      <t xml:space="preserve">■ </t>
    </r>
    <r>
      <rPr>
        <sz val="7.5"/>
        <color rgb="FF6F6B55"/>
        <rFont val="Calibri"/>
        <family val="0"/>
        <charset val="1"/>
      </rPr>
      <t xml:space="preserve">Operación Barcel    </t>
    </r>
    <r>
      <rPr>
        <sz val="9"/>
        <color rgb="FF3D7CB8"/>
        <rFont val="Calibri"/>
        <family val="0"/>
        <charset val="1"/>
      </rPr>
      <t xml:space="preserve">■ </t>
    </r>
    <r>
      <rPr>
        <sz val="7.5"/>
        <color rgb="FF6F6B55"/>
        <rFont val="Calibri"/>
        <family val="0"/>
        <charset val="1"/>
      </rPr>
      <t xml:space="preserve">Televía    </t>
    </r>
    <r>
      <rPr>
        <sz val="9"/>
        <color rgb="FF6F6B55"/>
        <rFont val="Calibri"/>
        <family val="0"/>
        <charset val="1"/>
      </rPr>
      <t xml:space="preserve">■ </t>
    </r>
    <r>
      <rPr>
        <sz val="7.5"/>
        <color rgb="FF6F6B55"/>
        <rFont val="Calibri"/>
        <family val="0"/>
        <charset val="1"/>
      </rPr>
      <t xml:space="preserve">Aliado    ·   barra sólida: fecha acordada · clara: propuesta   ·   ◆ hito   ·   ● ruta crítica   ·   </t>
    </r>
    <r>
      <rPr>
        <b val="true"/>
        <sz val="7.5"/>
        <color rgb="FFB42318"/>
        <rFont val="Calibri"/>
        <family val="0"/>
        <charset val="1"/>
      </rPr>
      <t xml:space="preserve">rojo: vencido o en riesgo</t>
    </r>
    <r>
      <rPr>
        <sz val="7.5"/>
        <color rgb="FF6F6B55"/>
        <rFont val="Calibri"/>
        <family val="0"/>
        <charset val="1"/>
      </rPr>
      <t xml:space="preserve">   ·   columna azul: hoy   ·   [+] arriba: detalle y liga; inicio, días y fase</t>
    </r>
  </si>
  <si>
    <t xml:space="preserve">S-3  ·  19 oct</t>
  </si>
  <si>
    <t xml:space="preserve">S-2  ·  26 oct</t>
  </si>
  <si>
    <t xml:space="preserve">S-1  ·  2 nov</t>
  </si>
  <si>
    <t xml:space="preserve">S1  ·  9 nov</t>
  </si>
  <si>
    <t xml:space="preserve">S2  ·  16 nov</t>
  </si>
  <si>
    <t xml:space="preserve">S3  ·  23 nov</t>
  </si>
  <si>
    <t xml:space="preserve">S4  ·  30 nov</t>
  </si>
  <si>
    <t xml:space="preserve">S5  ·  7 dic</t>
  </si>
  <si>
    <t xml:space="preserve">S6  ·  14 dic</t>
  </si>
  <si>
    <t xml:space="preserve">#</t>
  </si>
  <si>
    <t xml:space="preserve">Tarea</t>
  </si>
  <si>
    <t xml:space="preserve">Detalle</t>
  </si>
  <si>
    <t xml:space="preserve">Liga</t>
  </si>
  <si>
    <t xml:space="preserve">Depende de</t>
  </si>
  <si>
    <t xml:space="preserve">Responsable</t>
  </si>
  <si>
    <t xml:space="preserve">Estado</t>
  </si>
  <si>
    <t xml:space="preserve">Esperando a</t>
  </si>
  <si>
    <t xml:space="preserve">Fase</t>
  </si>
  <si>
    <t xml:space="preserve">Inicio</t>
  </si>
  <si>
    <t xml:space="preserve">Días</t>
  </si>
  <si>
    <t xml:space="preserve">Fin original</t>
  </si>
  <si>
    <t xml:space="preserve">Fin</t>
  </si>
  <si>
    <t xml:space="preserve">Fecha</t>
  </si>
  <si>
    <t xml:space="preserve">0 · CÓMO TRABAJAMOS    una sesión conjunta cada jueves, con agenda antes y minuta después</t>
  </si>
  <si>
    <t xml:space="preserve">0.1</t>
  </si>
  <si>
    <t xml:space="preserve">Sesiones operativas conjuntas con Bimbo y Barcel</t>
  </si>
  <si>
    <t xml:space="preserve">Una sesión operativa conjunta cada jueves, con las dos operaciones, con agenda antes y minuta después.</t>
  </si>
  <si>
    <t xml:space="preserve">—</t>
  </si>
  <si>
    <t xml:space="preserve">Uvicuo</t>
  </si>
  <si>
    <t xml:space="preserve">Listo</t>
  </si>
  <si>
    <t xml:space="preserve">0</t>
  </si>
  <si>
    <t xml:space="preserve">Acordada</t>
  </si>
  <si>
    <t xml:space="preserve">Cada jueves con las dos operaciones</t>
  </si>
  <si>
    <t xml:space="preserve">1 · PREPARACIÓN TÉCNICA    lista antes del primer cruce</t>
  </si>
  <si>
    <t xml:space="preserve">1.1</t>
  </si>
  <si>
    <t xml:space="preserve">Plataforma de Bimbo creada en Uvicuo</t>
  </si>
  <si>
    <t xml:space="preserve">La plataforma de Bimbo creada, con sus propios accesos, lista para cargar tags, usuarios, operadores y unidades.</t>
  </si>
  <si>
    <t xml:space="preserve">1</t>
  </si>
  <si>
    <t xml:space="preserve">Propuesta</t>
  </si>
  <si>
    <t xml:space="preserve">1.2</t>
  </si>
  <si>
    <t xml:space="preserve">Plataforma de Barcel creada en Uvicuo</t>
  </si>
  <si>
    <t xml:space="preserve">La plataforma de Barcel creada, con sus propios accesos, lista para cargar tags, usuarios, operadores y unidades.</t>
  </si>
  <si>
    <t xml:space="preserve">1.3</t>
  </si>
  <si>
    <t xml:space="preserve">Tags de Bimbo reflejados en Uvicuo</t>
  </si>
  <si>
    <t xml:space="preserve">Los tags de Bimbo cargados en su plataforma, listos para asignarlos a cada unidad.</t>
  </si>
  <si>
    <t xml:space="preserve">1.4</t>
  </si>
  <si>
    <t xml:space="preserve">Tags de Barcel reflejados en Uvicuo</t>
  </si>
  <si>
    <t xml:space="preserve">Los tags de Barcel cargados en su plataforma, listos para asignarlos a cada unidad.</t>
  </si>
  <si>
    <t xml:space="preserve">● 1.5</t>
  </si>
  <si>
    <t xml:space="preserve">Tarjetas domiciliadas para el cobro de casetas</t>
  </si>
  <si>
    <t xml:space="preserve">Las dos tarjetas domiciliadas y un cruce real cobrado a cada una.</t>
  </si>
  <si>
    <t xml:space="preserve">Por iniciar</t>
  </si>
  <si>
    <t xml:space="preserve">1.5.1</t>
  </si>
  <si>
    <t xml:space="preserve">Sesión con Tesorería y Televía para capturar las tarjetas, convocada</t>
  </si>
  <si>
    <t xml:space="preserve">Sesión agendada con Tesorería, Televía y Uvicuo para capturar la tarjeta de Bimbo y la de Barcel en su cuenta de Televía.</t>
  </si>
  <si>
    <t xml:space="preserve">● 1.5.2</t>
  </si>
  <si>
    <t xml:space="preserve">Tarjeta domiciliada · Bimbo</t>
  </si>
  <si>
    <t xml:space="preserve">La tarjeta de Bimbo capturada y domiciliada en su cuenta de Televía, con confirmación de Televía.</t>
  </si>
  <si>
    <t xml:space="preserve">Tesorería</t>
  </si>
  <si>
    <t xml:space="preserve">● 1.5.3</t>
  </si>
  <si>
    <t xml:space="preserve">Tarjeta domiciliada · Barcel</t>
  </si>
  <si>
    <t xml:space="preserve">La tarjeta de Barcel capturada y domiciliada en su cuenta de Televía, con confirmación de Televía.</t>
  </si>
  <si>
    <t xml:space="preserve">● 1.5.4</t>
  </si>
  <si>
    <t xml:space="preserve">Un cruce real cobrado a cada tarjeta</t>
  </si>
  <si>
    <t xml:space="preserve">Un cruce real cobrado a la tarjeta de Bimbo y otro a la de Barcel, con evidencia del cruce y del cargo.</t>
  </si>
  <si>
    <t xml:space="preserve">1.5.2 · 1.5.3</t>
  </si>
  <si>
    <t xml:space="preserve">◆</t>
  </si>
  <si>
    <t xml:space="preserve">Preparación técnica lista</t>
  </si>
  <si>
    <t xml:space="preserve">2 · CRITERIOS DE ÉXITO Y SLAS    cada operación los revisa por separado; el visto bueno se da en conjunto</t>
  </si>
  <si>
    <t xml:space="preserve">2.1</t>
  </si>
  <si>
    <t xml:space="preserve">Sesión con la operación del Sureste y su líder del proyecto</t>
  </si>
  <si>
    <t xml:space="preserve">Sesión en persona con la operación del Sureste, con su líder del proyecto confirmado.</t>
  </si>
  <si>
    <t xml:space="preserve">Operación Bimbo</t>
  </si>
  <si>
    <t xml:space="preserve">2</t>
  </si>
  <si>
    <t xml:space="preserve">2.2</t>
  </si>
  <si>
    <t xml:space="preserve">Revisar en persona la propuesta de criterios y SLAs · Bimbo</t>
  </si>
  <si>
    <t xml:space="preserve">La operación de Bimbo Sureste revisó en persona la propuesta de criterios y SLAs: qué confirma, qué corrige y qué agrega.</t>
  </si>
  <si>
    <t xml:space="preserve">2.3</t>
  </si>
  <si>
    <t xml:space="preserve">Revisar en persona la propuesta de criterios y SLAs · Barcel</t>
  </si>
  <si>
    <t xml:space="preserve">La operación de Barcel Lerma revisó en persona la propuesta de criterios y SLAs: qué confirma, qué corrige y qué agrega.</t>
  </si>
  <si>
    <t xml:space="preserve">2.4</t>
  </si>
  <si>
    <t xml:space="preserve">Criterios de éxito y SLAs por operación, por escrito</t>
  </si>
  <si>
    <t xml:space="preserve">Un libro del piloto por operación: compromisos, siete criterios de éxito con su meta, escalación y comunicación.</t>
  </si>
  <si>
    <t xml:space="preserve">● 2.5</t>
  </si>
  <si>
    <t xml:space="preserve">Criterios y SLAs firmados · Bimbo</t>
  </si>
  <si>
    <t xml:space="preserve">La operación de Bimbo Sureste revisa el libro del piloto (compromisos, criterios de éxito, escalación y comunicación) y da su visto bueno por correo.</t>
  </si>
  <si>
    <t xml:space="preserve">En firma</t>
  </si>
  <si>
    <t xml:space="preserve">● 2.6</t>
  </si>
  <si>
    <t xml:space="preserve">Criterios y SLAs firmados · Barcel</t>
  </si>
  <si>
    <t xml:space="preserve">La operación de Barcel Lerma revisa el libro del piloto (compromisos, criterios de éxito, escalación y comunicación) y da su visto bueno por correo.</t>
  </si>
  <si>
    <t xml:space="preserve">Operación Barcel</t>
  </si>
  <si>
    <t xml:space="preserve">Criterios y SLAs firmados por las dos operaciones</t>
  </si>
  <si>
    <t xml:space="preserve">3 · LISTOS PARA RODAR    antes del primer cruce</t>
  </si>
  <si>
    <t xml:space="preserve">3.1</t>
  </si>
  <si>
    <t xml:space="preserve">Plan del cambio de tags, acordado con cada operación</t>
  </si>
  <si>
    <t xml:space="preserve">Acordado con cada operación qué unidad recibe qué tag, cuándo, y cómo se retira el tag anterior.</t>
  </si>
  <si>
    <t xml:space="preserve">3</t>
  </si>
  <si>
    <t xml:space="preserve">3.2</t>
  </si>
  <si>
    <t xml:space="preserve">Instructivo de pegado para tractos, con la guía vigente de Televía</t>
  </si>
  <si>
    <t xml:space="preserve">Instructivo de pegado para los tractos, alineado a la guía vigente de Televía.</t>
  </si>
  <si>
    <t xml:space="preserve">En curso</t>
  </si>
  <si>
    <t xml:space="preserve">3.2.1</t>
  </si>
  <si>
    <t xml:space="preserve">Instructivo enviado al equipo de Barcel</t>
  </si>
  <si>
    <t xml:space="preserve">El instructivo de pegado enviado al equipo de Barcel Lerma.</t>
  </si>
  <si>
    <t xml:space="preserve">3.2.2</t>
  </si>
  <si>
    <t xml:space="preserve">Instructivo enviado al equipo de Bimbo</t>
  </si>
  <si>
    <t xml:space="preserve">El instructivo de pegado enviado al equipo de Bimbo Sureste.</t>
  </si>
  <si>
    <t xml:space="preserve">● 3.3</t>
  </si>
  <si>
    <t xml:space="preserve">Rutas del piloto aseguradas con Televía</t>
  </si>
  <si>
    <t xml:space="preserve">Televía tiene actualizados en cada concesionaria los tags que pasan por las rutas del piloto, y un equipo monitoreando desde el arranque.</t>
  </si>
  <si>
    <t xml:space="preserve">3.3.1</t>
  </si>
  <si>
    <t xml:space="preserve">Rutas de Sureste, con los económicos que corre cada una</t>
  </si>
  <si>
    <t xml:space="preserve">Las rutas de Bimbo Sureste, cada una con los económicos que la corren. La información sale de la planeación de la propia operación (OTM), no de Aliado.</t>
  </si>
  <si>
    <t xml:space="preserve">3.3.2</t>
  </si>
  <si>
    <t xml:space="preserve">Rutas de Lerma, con los económicos que corre cada una</t>
  </si>
  <si>
    <t xml:space="preserve">Las rutas de Barcel Lerma, cada una con los económicos que la corren. La información sale de la planeación de la propia operación (OTM), no de Aliado.</t>
  </si>
  <si>
    <t xml:space="preserve">3.3.3</t>
  </si>
  <si>
    <t xml:space="preserve">Matriz de qué tags pasan por qué casetas y concesionarias</t>
  </si>
  <si>
    <t xml:space="preserve">Por cada ruta, qué económicos la corren, qué tags llevan y por qué casetas y concesionarias van a pasar.</t>
  </si>
  <si>
    <t xml:space="preserve">3.3.1 · 3.3.2</t>
  </si>
  <si>
    <t xml:space="preserve">3.3.4</t>
  </si>
  <si>
    <t xml:space="preserve">Revisión de la matriz · Bimbo</t>
  </si>
  <si>
    <t xml:space="preserve">El responsable de ruteo de Bimbo Sureste confirma que las rutas y los económicos de la matriz son los correctos.</t>
  </si>
  <si>
    <t xml:space="preserve">3.3.5</t>
  </si>
  <si>
    <t xml:space="preserve">Revisión de la matriz · Barcel</t>
  </si>
  <si>
    <t xml:space="preserve">El responsable de ruteo de Barcel Lerma confirma que las rutas y los económicos de la matriz son los correctos.</t>
  </si>
  <si>
    <t xml:space="preserve">● 3.3.6</t>
  </si>
  <si>
    <t xml:space="preserve">Tags actualizados en cada concesionaria · Bimbo</t>
  </si>
  <si>
    <t xml:space="preserve">Televía confirma por escrito que los tags de Bimbo Sureste están actualizados en cada concesionaria de sus rutas.</t>
  </si>
  <si>
    <t xml:space="preserve">Televía</t>
  </si>
  <si>
    <t xml:space="preserve">● 3.3.7</t>
  </si>
  <si>
    <t xml:space="preserve">Tags actualizados en cada concesionaria · Barcel</t>
  </si>
  <si>
    <t xml:space="preserve">Televía confirma por escrito que los tags de Barcel Lerma están actualizados en cada concesionaria de sus rutas.</t>
  </si>
  <si>
    <t xml:space="preserve">● 3.3.8</t>
  </si>
  <si>
    <t xml:space="preserve">Equipo de monitoreo de Televía para el arranque, confirmado</t>
  </si>
  <si>
    <t xml:space="preserve">Un equipo de Televía monitoreando las rutas del piloto desde el primer cruce (3 de noviembre), con un contacto que resuelve en el momento si un tag se rechaza.</t>
  </si>
  <si>
    <t xml:space="preserve">3.3.6 · 3.3.7</t>
  </si>
  <si>
    <t xml:space="preserve">3.4</t>
  </si>
  <si>
    <t xml:space="preserve">Operadores y unidades de Bimbo Sureste dados de alta</t>
  </si>
  <si>
    <t xml:space="preserve">Los operadores y las unidades de Bimbo Sureste cargados en su plataforma, con la lista validada por la operación.</t>
  </si>
  <si>
    <t xml:space="preserve">3.4.1</t>
  </si>
  <si>
    <t xml:space="preserve">Lista de operadores y unidades · Bimbo</t>
  </si>
  <si>
    <t xml:space="preserve">La lista de operadores y unidades de Bimbo Sureste que entran al piloto, en el formato de carga.</t>
  </si>
  <si>
    <t xml:space="preserve">Aliado</t>
  </si>
  <si>
    <t xml:space="preserve">3.4.2</t>
  </si>
  <si>
    <t xml:space="preserve">Validación de la lista · Bimbo</t>
  </si>
  <si>
    <t xml:space="preserve">La operación de Bimbo Sureste confirma qué operadores y qué unidades de la lista entran al piloto.</t>
  </si>
  <si>
    <t xml:space="preserve">Cada jefe de transporte revisa al tener acceso a la plataforma</t>
  </si>
  <si>
    <t xml:space="preserve">3.4.3</t>
  </si>
  <si>
    <t xml:space="preserve">Carga de operadores · Bimbo</t>
  </si>
  <si>
    <t xml:space="preserve">Los operadores validados de Bimbo dados de alta en la plataforma, activos y sin depender de WhatsApp.</t>
  </si>
  <si>
    <t xml:space="preserve">3.4.4</t>
  </si>
  <si>
    <t xml:space="preserve">Carga de unidades · Bimbo</t>
  </si>
  <si>
    <t xml:space="preserve">Las unidades validadas de Bimbo cargadas en la plataforma, listas para asignarles su tag.</t>
  </si>
  <si>
    <t xml:space="preserve">3.5</t>
  </si>
  <si>
    <t xml:space="preserve">Operadores y unidades de Barcel Lerma dados de alta</t>
  </si>
  <si>
    <t xml:space="preserve">Los operadores y las unidades de Barcel Lerma cargados en su plataforma, con la lista validada por la operación.</t>
  </si>
  <si>
    <t xml:space="preserve">3.5.1</t>
  </si>
  <si>
    <t xml:space="preserve">Lista de operadores y unidades · Barcel</t>
  </si>
  <si>
    <t xml:space="preserve">La lista de operadores y unidades de Barcel Lerma que entran al piloto, en el formato de carga.</t>
  </si>
  <si>
    <t xml:space="preserve">3.5.2</t>
  </si>
  <si>
    <t xml:space="preserve">Validación de la lista · Barcel</t>
  </si>
  <si>
    <t xml:space="preserve">La operación de Barcel Lerma confirma qué operadores y qué unidades de la lista entran al piloto.</t>
  </si>
  <si>
    <t xml:space="preserve">3.5.3 · 3.5.4</t>
  </si>
  <si>
    <t xml:space="preserve">3.5.3</t>
  </si>
  <si>
    <t xml:space="preserve">Carga de operadores · Barcel</t>
  </si>
  <si>
    <t xml:space="preserve">Los operadores validados de Barcel dados de alta en la plataforma, activos y sin depender de WhatsApp.</t>
  </si>
  <si>
    <t xml:space="preserve">3.5.4</t>
  </si>
  <si>
    <t xml:space="preserve">Carga de unidades · Barcel</t>
  </si>
  <si>
    <t xml:space="preserve">Las unidades validadas de Barcel cargadas en la plataforma, listas para asignarles su tag.</t>
  </si>
  <si>
    <t xml:space="preserve">● 3.6</t>
  </si>
  <si>
    <t xml:space="preserve">Onboarding de la operación a Uvicuo</t>
  </si>
  <si>
    <t xml:space="preserve">Antes del 1 de noviembre, cada operación sabe qué es Uvicuo, qué le resuelve y cómo se usa.</t>
  </si>
  <si>
    <t xml:space="preserve">3.6.1</t>
  </si>
  <si>
    <t xml:space="preserve">Definir dónde y cómo consulta la operación gasto, casetas y cruces</t>
  </si>
  <si>
    <t xml:space="preserve">Decidido y comunicado si la operación consulta gasto, casetas y cruces en Uvicuo, en Aliado o en las dos, y qué ve en cada una.</t>
  </si>
  <si>
    <t xml:space="preserve">● 3.6.2</t>
  </si>
  <si>
    <t xml:space="preserve">Accesos a la plataforma para cada operación</t>
  </si>
  <si>
    <t xml:space="preserve">Cada operación con sus usuarios activos en la plataforma, con permiso para asignar, activar y desactivar tags.</t>
  </si>
  <si>
    <t xml:space="preserve">3.6.2.1</t>
  </si>
  <si>
    <t xml:space="preserve">Lista de usuarios y roles · Bimbo</t>
  </si>
  <si>
    <t xml:space="preserve">Quién de la operación de Bimbo Sureste necesita acceso a la plataforma y con qué rol.</t>
  </si>
  <si>
    <t xml:space="preserve">3.6.2.2</t>
  </si>
  <si>
    <t xml:space="preserve">Lista de usuarios y roles · Barcel</t>
  </si>
  <si>
    <t xml:space="preserve">Quién de la operación de Barcel Lerma necesita acceso a la plataforma y con qué rol.</t>
  </si>
  <si>
    <t xml:space="preserve">● 3.6.2.3</t>
  </si>
  <si>
    <t xml:space="preserve">Alta de los usuarios de cada operación en la plataforma</t>
  </si>
  <si>
    <t xml:space="preserve">Todos los usuarios de las listas dados de alta, con su rol y con acceso confirmado.</t>
  </si>
  <si>
    <t xml:space="preserve">1.1 · 1.2 · 3.6.2.1 · 3.6.2.2</t>
  </si>
  <si>
    <t xml:space="preserve">3.6.3</t>
  </si>
  <si>
    <t xml:space="preserve">Ficha técnica de la plataforma para la operación</t>
  </si>
  <si>
    <t xml:space="preserve">La ficha técnica para la operación: qué hace la plataforma, qué ve y puede hacer cada usuario, cómo llegan los cruces y cómo se atiende un rechazo.</t>
  </si>
  <si>
    <t xml:space="preserve">3.6.4</t>
  </si>
  <si>
    <t xml:space="preserve">Materiales: flujos principales, guía de uso y qué hacer ante un rechazo</t>
  </si>
  <si>
    <t xml:space="preserve">El paquete de cada operación: flujos principales, guía de uso, qué hacer ante un rechazo en caseta y el flyer de escalamiento.</t>
  </si>
  <si>
    <t xml:space="preserve">3.6.5</t>
  </si>
  <si>
    <t xml:space="preserve">Demo de Uvicuo con los tags y unidades de cada operación</t>
  </si>
  <si>
    <t xml:space="preserve">Cada operación vio la plataforma con sus propios tags y unidades: asignación de tags, cruces conciliados al viaje, aclaraciones y reporte.</t>
  </si>
  <si>
    <t xml:space="preserve">1.3 · 1.4</t>
  </si>
  <si>
    <t xml:space="preserve">● 3.6.6</t>
  </si>
  <si>
    <t xml:space="preserve">Capacitación de los usuarios de cada operación</t>
  </si>
  <si>
    <t xml:space="preserve">Los usuarios de cada operación asignan, activan y desactivan tags, consultan cruces y gasto, y saben qué hacer ante un rechazo.</t>
  </si>
  <si>
    <t xml:space="preserve">3.6.2.3</t>
  </si>
  <si>
    <t xml:space="preserve">3.7</t>
  </si>
  <si>
    <t xml:space="preserve">Grupos de WhatsApp de soporte 24/7 operando</t>
  </si>
  <si>
    <t xml:space="preserve">Dos grupos de WhatsApp de soporte 24/7 con Uvicuo y Televía: uno por operación, con sus usuarios, antes del primer cruce.</t>
  </si>
  <si>
    <t xml:space="preserve">3.7.1</t>
  </si>
  <si>
    <t xml:space="preserve">Grupo de WhatsApp · Bimbo Sureste</t>
  </si>
  <si>
    <t xml:space="preserve">Grupo de WhatsApp de soporte 24/7 con los usuarios de Bimbo Sureste, Uvicuo y Televía.</t>
  </si>
  <si>
    <t xml:space="preserve">3.7.2</t>
  </si>
  <si>
    <t xml:space="preserve">Grupo de WhatsApp · Barcel Lerma</t>
  </si>
  <si>
    <t xml:space="preserve">Grupo de WhatsApp de soporte 24/7 con los usuarios de Barcel Lerma, Uvicuo y Televía.</t>
  </si>
  <si>
    <t xml:space="preserve">● 3.8</t>
  </si>
  <si>
    <t xml:space="preserve">Dos viajes activos con el mismo económico en Aliado: regla de atribución del cruce</t>
  </si>
  <si>
    <t xml:space="preserve">Caso que levantó Aldo (Barcel): una misma unidad puede tener dos o más viajes abiertos en Aliado a la vez, así que un cruce no siempre sabe a qué viaje ligarse. Uvicuo revisa cómo se comporta la integración y define la regla de atribución antes del primer cruce.</t>
  </si>
  <si>
    <t xml:space="preserve">Listos para rodar</t>
  </si>
  <si>
    <t xml:space="preserve">4 · INTEGRACIÓN    semana 1 del piloto · unas cuantas unidades (una por territorio en Sureste, una por ruta en Lerma): cada cruce se cobra, se liga a su viaje y se concilia</t>
  </si>
  <si>
    <t xml:space="preserve">Primer cruce · Bimbo Sureste y Barcel Lerma, a la par</t>
  </si>
  <si>
    <t xml:space="preserve">4</t>
  </si>
  <si>
    <t xml:space="preserve">● 4.1</t>
  </si>
  <si>
    <t xml:space="preserve">Integración: primeras unidades cruzan y se concilia cada cruce</t>
  </si>
  <si>
    <t xml:space="preserve">Unas cuantas unidades recorren su ruta: una por territorio en Bimbo Sureste y una por ruta en Barcel Lerma. Se comprueba que cada cruce se cobre, se ligue a su viaje y se concilie, antes del despliegue a toda la flota.</t>
  </si>
  <si>
    <t xml:space="preserve">4.1.1</t>
  </si>
  <si>
    <t xml:space="preserve">Unidad y equipo de integración, confirmados</t>
  </si>
  <si>
    <t xml:space="preserve">Confirmado con qué unidad, en qué patio, qué día y con qué equipo de la operación se hace la prueba.</t>
  </si>
  <si>
    <t xml:space="preserve">Grupo Bimbo</t>
  </si>
  <si>
    <t xml:space="preserve">Plantilla con económico, tag y casetas de cada ruta de integración; Puebla ya ofreció unidad</t>
  </si>
  <si>
    <t xml:space="preserve">4.1.2</t>
  </si>
  <si>
    <t xml:space="preserve">Especialista de Televía en la integración</t>
  </si>
  <si>
    <t xml:space="preserve">Un especialista de Televía presente o en línea durante la prueba, que puede activar el tag y resolver un rechazo en el momento.</t>
  </si>
  <si>
    <t xml:space="preserve">Sin fecha</t>
  </si>
  <si>
    <t xml:space="preserve">Sin fecha  ·  Durante la integración, en línea</t>
  </si>
  <si>
    <t xml:space="preserve">● 4.1.3</t>
  </si>
  <si>
    <t xml:space="preserve">Tag instalado, activo y un cruce sin rechazo</t>
  </si>
  <si>
    <t xml:space="preserve">En cada unidad de integración el tag queda instalado, activo, y hace un cruce real sin rechazo, ligado a su viaje y conciliado, con evidencia. Objetivo: el día del primer cruce.</t>
  </si>
  <si>
    <t xml:space="preserve">4.1.1 · 4.1.2</t>
  </si>
  <si>
    <t xml:space="preserve">5 · DESPLIEGUE    semanas 2 a 4 del piloto · toda la flota de la región: cambio de tags y operación diaria, medida contra los criterios de éxito  ·  Criterios en hipótesis v1, pendientes de aceptación por la operación</t>
  </si>
  <si>
    <t xml:space="preserve">5.1</t>
  </si>
  <si>
    <t xml:space="preserve">Cambio de tags · Bimbo Sureste</t>
  </si>
  <si>
    <t xml:space="preserve">Tags de Televía pegados y activos en las unidades del piloto de Bimbo Sureste, con el tag anterior retirado y sin doble cobro.</t>
  </si>
  <si>
    <t xml:space="preserve">3.1 · 1.3 · 1.5.4 · 4.1.3</t>
  </si>
  <si>
    <t xml:space="preserve">5</t>
  </si>
  <si>
    <t xml:space="preserve">5.2</t>
  </si>
  <si>
    <t xml:space="preserve">Cambio de tags · Barcel Lerma</t>
  </si>
  <si>
    <t xml:space="preserve">Tags de Televía pegados y activos en las unidades del piloto de Barcel Lerma, con el tag anterior retirado y sin doble cobro.</t>
  </si>
  <si>
    <t xml:space="preserve">3.1 · 1.4 · 1.5.4 · 4.1.3</t>
  </si>
  <si>
    <t xml:space="preserve">5.3</t>
  </si>
  <si>
    <t xml:space="preserve">Operación diaria con Uvicuo, medida contra los criterios</t>
  </si>
  <si>
    <t xml:space="preserve">Cada criterio firmado, medido y reportado durante el piloto.</t>
  </si>
  <si>
    <t xml:space="preserve">2.5 · 2.6</t>
  </si>
  <si>
    <t xml:space="preserve">Operación Barcel, Operación Bimbo</t>
  </si>
  <si>
    <t xml:space="preserve">A1</t>
  </si>
  <si>
    <t xml:space="preserve">Toda unidad con tag instalado cruza con Televía; tag anterior retirado</t>
  </si>
  <si>
    <t xml:space="preserve">Unidades con al menos un cruce en Uvicuo entre las que tienen tag instalado = 100%.</t>
  </si>
  <si>
    <t xml:space="preserve">Operación · Televía · Uvicuo</t>
  </si>
  <si>
    <t xml:space="preserve">Pendiente</t>
  </si>
  <si>
    <t xml:space="preserve">A2</t>
  </si>
  <si>
    <t xml:space="preserve">Cero doble cobro atribuible al cambio de tags</t>
  </si>
  <si>
    <t xml:space="preserve">Comparativo de la última factura o export del proveedor anterior contra los cruces en Uvicuo, por unidad y hora, incluidos los cruces rezagados de 1 a 2 días; casos = 0.</t>
  </si>
  <si>
    <t xml:space="preserve">Uvicuo · Operación</t>
  </si>
  <si>
    <t xml:space="preserve">A3</t>
  </si>
  <si>
    <t xml:space="preserve">Cero unidades detenidas por causa administrativa</t>
  </si>
  <si>
    <t xml:space="preserve">Bitácora de incidentes con causa clasificada; unidades detenidas por tag inactivo, pago, bloqueo o límite de la tarjeta = 0.</t>
  </si>
  <si>
    <t xml:space="preserve">Televía · Uvicuo · Tesorería</t>
  </si>
  <si>
    <t xml:space="preserve">A4</t>
  </si>
  <si>
    <t xml:space="preserve">Todo rechazo en caseta con acuse en 15 min y seguimiento hasta su cierre</t>
  </si>
  <si>
    <t xml:space="preserve">Bitácora con hora de reporte, acuse y cruce exitoso; 100% de los rechazos con acuse de Televía en 15 minutos o menos en el grupo 24/7, y cierre registrado.</t>
  </si>
  <si>
    <t xml:space="preserve">Televía · Uvicuo · Operación</t>
  </si>
  <si>
    <t xml:space="preserve">B1</t>
  </si>
  <si>
    <t xml:space="preserve">Reporte de conciliación del mes entregado y útil</t>
  </si>
  <si>
    <t xml:space="preserve">Al quinto día hábil tras la factura de Televía: 100% de los cruces ligados a unidad y viaje, diferencias clasificadas y resumen por operación; la operación confirma por escrito que le sirve sin retrabajo.</t>
  </si>
  <si>
    <t xml:space="preserve">Uvicuo · Aliado · Televía</t>
  </si>
  <si>
    <t xml:space="preserve">B2</t>
  </si>
  <si>
    <t xml:space="preserve">Toda diferencia en contra ingresada como aclaración con folio</t>
  </si>
  <si>
    <t xml:space="preserve">Folio de Televía por cada diferencia en contra, ingresada dentro de los 5 días hábiles siguientes al reporte; estatus visible en la plataforma y actualizado cada semana.</t>
  </si>
  <si>
    <t xml:space="preserve">Uvicuo · Televía</t>
  </si>
  <si>
    <t xml:space="preserve">B3</t>
  </si>
  <si>
    <t xml:space="preserve">La operación no concilió ni reclamó por su cuenta</t>
  </si>
  <si>
    <t xml:space="preserve">Confirmación de la operación al corte de que durante el mes no hizo conciliación manual ni reclamos directos con concesionarias; 0 reclamos levantados por la operación.</t>
  </si>
  <si>
    <t xml:space="preserve">Operación · Uvicuo</t>
  </si>
  <si>
    <t xml:space="preserve">C1</t>
  </si>
  <si>
    <t xml:space="preserve">Las dos operaciones aprobaron A1 a B3 por correo</t>
  </si>
  <si>
    <t xml:space="preserve">Cada operación devuelve por correo su copia del documento de criterios con la columna llena. Las dos aprobadas = cumplido.</t>
  </si>
  <si>
    <t xml:space="preserve">Operación Barcel · Operación Bimbo · Uvicuo</t>
  </si>
  <si>
    <t xml:space="preserve">C2</t>
  </si>
  <si>
    <t xml:space="preserve">Reporte de valor del mes entregado a Compras</t>
  </si>
  <si>
    <t xml:space="preserve">Reporte con diferencias a favor y en contra, monto ingresado en aclaración, horas trasladadas a Uvicuo y cashback que se habría recibido; semáforo final y recomendación: extender, ajustar o detener.</t>
  </si>
  <si>
    <t xml:space="preserve">6 · EVALUACIÓN    al cierre del piloto · resultados contra los criterios y conciliación del mes completo; con eso Grupo Bimbo decide si va a nivel nacional</t>
  </si>
  <si>
    <t xml:space="preserve">6.1</t>
  </si>
  <si>
    <t xml:space="preserve">Resultados del piloto contra los criterios y conciliación del mes completo</t>
  </si>
  <si>
    <t xml:space="preserve">El reporte del mes: cada criterio medido y la conciliación del mes completo, para decidir extender, ajustar o detener.</t>
  </si>
  <si>
    <t xml:space="preserve">6</t>
  </si>
  <si>
    <t xml:space="preserve">6.2</t>
  </si>
  <si>
    <t xml:space="preserve">Visto bueno de cada operación para extender</t>
  </si>
  <si>
    <t xml:space="preserve">Cada operación da su visto bueno para extender, con base en sus criterios.</t>
  </si>
  <si>
    <t xml:space="preserve">Sin fecha  ·  Barcel evalúa el lunes 7 de diciembre (por confirmar); Bimbo al cumplir el mes</t>
  </si>
  <si>
    <t xml:space="preserve">6.3</t>
  </si>
  <si>
    <t xml:space="preserve">Extensión a las demás regiones</t>
  </si>
  <si>
    <t xml:space="preserve">Las demás regiones de Bimbo y Barcel operando con Uvicuo.</t>
  </si>
  <si>
    <t xml:space="preserve">Sin fecha  ·  Diciembre no se toca; Barcel en enero si se aprueba el piloto</t>
  </si>
  <si>
    <t xml:space="preserve">6.4</t>
  </si>
  <si>
    <t xml:space="preserve">Aviso a ViaPass y salida ordenada</t>
  </si>
  <si>
    <t xml:space="preserve">Barcel deja ViaPass sin cobros fantasma y sin pasivo abierto, cuando se extienda a nivel nacional.</t>
  </si>
  <si>
    <t xml:space="preserve">Sin fecha  ·  Al ir a nivel nacional, no antes</t>
  </si>
  <si>
    <t xml:space="preserve">Semana a semana</t>
  </si>
  <si>
    <t xml:space="preserve">Lo que tenía que pasar cada semana y qué pasó. La más reciente arriba.</t>
  </si>
  <si>
    <t xml:space="preserve">Semana del 27 al 31 de octubre</t>
  </si>
  <si>
    <t xml:space="preserve">Qué tiene que pasar</t>
  </si>
  <si>
    <t xml:space="preserve">Cuándo</t>
  </si>
  <si>
    <t xml:space="preserve">Para qué</t>
  </si>
  <si>
    <t xml:space="preserve">Qué pasó</t>
  </si>
  <si>
    <t xml:space="preserve">Las dos tarjetas domiciliadas en Televía</t>
  </si>
  <si>
    <t xml:space="preserve">Grupo Bimbo · Tesorería</t>
  </si>
  <si>
    <t xml:space="preserve">A más tardar el lunes 2</t>
  </si>
  <si>
    <t xml:space="preserve">Es la compuerta del arranque: con ellas el primer cruce es el martes 3 (Bimbo) y el miércoles 4 (Barcel)</t>
  </si>
  <si>
    <t xml:space="preserve">Visto bueno de los criterios de éxito de las dos operaciones</t>
  </si>
  <si>
    <t xml:space="preserve">Operación Bimbo · Operación Barcel</t>
  </si>
  <si>
    <t xml:space="preserve">Jueves 29</t>
  </si>
  <si>
    <t xml:space="preserve">En la sesión conjunta se presentan los criterios de las dos operaciones, combinados</t>
  </si>
  <si>
    <t xml:space="preserve">Validación de las listas de Bimbo y su lista de usuarios</t>
  </si>
  <si>
    <t xml:space="preserve">Esta semana</t>
  </si>
  <si>
    <t xml:space="preserve">Sin la validación no se dan de alta operadores ni unidades de Sureste</t>
  </si>
  <si>
    <t xml:space="preserve">Firma del apoderado de Barcel en el contrato con Televía</t>
  </si>
  <si>
    <t xml:space="preserve">Antes del martes 3</t>
  </si>
  <si>
    <t xml:space="preserve">Requisito para el primer cruce de Barcel; Televía ya firmó su parte el 26</t>
  </si>
  <si>
    <t xml:space="preserve">Semana del 19 al 23 de octubre</t>
  </si>
  <si>
    <t xml:space="preserve">Caso de negocio entregado a Finanzas, con reunión para revisarlo</t>
  </si>
  <si>
    <t xml:space="preserve">Lunes 19</t>
  </si>
  <si>
    <t xml:space="preserve">Con él se decide entre las dos opciones de precio</t>
  </si>
  <si>
    <t xml:space="preserve">Cumplido · entregado el 19 y presentado el 20</t>
  </si>
  <si>
    <t xml:space="preserve">Contrato de Barcel con Televía firmado</t>
  </si>
  <si>
    <t xml:space="preserve">Semana del 19</t>
  </si>
  <si>
    <t xml:space="preserve">Requisito para que Barcel arranque el 1 de noviembre</t>
  </si>
  <si>
    <t xml:space="preserve">Cada tag vinculado a su cuenta</t>
  </si>
  <si>
    <t xml:space="preserve">Jueves 22 (propuesta)</t>
  </si>
  <si>
    <t xml:space="preserve">Con eso se reflejan los tags en Uvicuo y se puede hacer la prueba</t>
  </si>
  <si>
    <t xml:space="preserve">Criterios de éxito y SLAs revisados en persona con cada operación</t>
  </si>
  <si>
    <t xml:space="preserve">Uvicuo, con cada operación</t>
  </si>
  <si>
    <t xml:space="preserve">22 y 23 (propuesta)</t>
  </si>
  <si>
    <t xml:space="preserve">El piloto se mide desde el primer día con lo que cada operación firme</t>
  </si>
  <si>
    <t xml:space="preserve">Cumplido · 21 de octubre, en el uno a uno de cada operación</t>
  </si>
  <si>
    <t xml:space="preserve">Equipo confirmado para la prueba controlada con una unidad</t>
  </si>
  <si>
    <t xml:space="preserve">Probar la instalación sin rechazo antes del cambio de tags</t>
  </si>
  <si>
    <t xml:space="preserve">Se amplió: una unidad por territorio en Sureste y tres rutas en Lerma; Puebla ya ofreció unidad</t>
  </si>
  <si>
    <t xml:space="preserve">También</t>
  </si>
  <si>
    <t xml:space="preserve">·  Reunión del anexo de Aliado con Grupo Bimbo</t>
  </si>
  <si>
    <t xml:space="preserve">·  Sesión del medio de pago con Tesorería</t>
  </si>
  <si>
    <t xml:space="preserve">·  Primeras dos sesiones operativas conjuntas, con agenda antes y minuta después</t>
  </si>
  <si>
    <t xml:space="preserve">Cómo trabajamos</t>
  </si>
  <si>
    <t xml:space="preserve">Empezamos y terminamos a tiempo.</t>
  </si>
  <si>
    <t xml:space="preserve">Primero la agenda; dudas y temas nuevos, al final.</t>
  </si>
  <si>
    <t xml:space="preserve">Cada tema cierra con quién y para cuándo.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</si>
</sst>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"/>
    <numFmt numFmtId="166" formatCode="d\ mmm"/>
    <numFmt numFmtId="167" formatCode="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E2A47"/>
      <name val="Calibri"/>
      <family val="0"/>
      <charset val="1"/>
    </font>
    <font>
      <sz val="8.5"/>
      <color rgb="FF4F4B3A"/>
      <name val="Calibri"/>
      <family val="0"/>
      <charset val="1"/>
    </font>
    <font>
      <sz val="9"/>
      <color rgb="FF0E2A47"/>
      <name val="Calibri"/>
      <family val="0"/>
      <charset val="1"/>
    </font>
    <font>
      <sz val="7.5"/>
      <color rgb="FF6F6B55"/>
      <name val="Calibri"/>
      <family val="0"/>
      <charset val="1"/>
    </font>
    <font>
      <sz val="9"/>
      <color rgb="FFA4502F"/>
      <name val="Calibri"/>
      <family val="0"/>
      <charset val="1"/>
    </font>
    <font>
      <sz val="9"/>
      <color rgb="FFB7862B"/>
      <name val="Calibri"/>
      <family val="0"/>
      <charset val="1"/>
    </font>
    <font>
      <sz val="9"/>
      <color rgb="FF2F7F7A"/>
      <name val="Calibri"/>
      <family val="0"/>
      <charset val="1"/>
    </font>
    <font>
      <sz val="9"/>
      <color rgb="FF6B4C8A"/>
      <name val="Calibri"/>
      <family val="0"/>
      <charset val="1"/>
    </font>
    <font>
      <sz val="9"/>
      <color rgb="FF3D7CB8"/>
      <name val="Calibri"/>
      <family val="0"/>
      <charset val="1"/>
    </font>
    <font>
      <sz val="9"/>
      <color rgb="FF6F6B55"/>
      <name val="Calibri"/>
      <family val="0"/>
      <charset val="1"/>
    </font>
    <font>
      <b val="true"/>
      <sz val="7.5"/>
      <color rgb="FFB42318"/>
      <name val="Calibri"/>
      <family val="0"/>
      <charset val="1"/>
    </font>
    <font>
      <b val="true"/>
      <sz val="7.5"/>
      <color rgb="FF4F4B3A"/>
      <name val="Calibri"/>
      <family val="0"/>
      <charset val="1"/>
    </font>
    <font>
      <sz val="6.5"/>
      <color rgb="FF4F4B3A"/>
      <name val="Calibri"/>
      <family val="0"/>
      <charset val="1"/>
    </font>
    <font>
      <sz val="6.5"/>
      <color rgb="FF9C9880"/>
      <name val="Calibri"/>
      <family val="0"/>
      <charset val="1"/>
    </font>
    <font>
      <b val="true"/>
      <sz val="6.5"/>
      <color rgb="FF2E5A10"/>
      <name val="Calibri"/>
      <family val="0"/>
      <charset val="1"/>
    </font>
    <font>
      <b val="true"/>
      <sz val="8"/>
      <color rgb="FF0E2A47"/>
      <name val="Calibri"/>
      <family val="0"/>
      <charset val="1"/>
    </font>
    <font>
      <sz val="7"/>
      <color rgb="FF9C9880"/>
      <name val="Calibri"/>
      <family val="0"/>
      <charset val="1"/>
    </font>
    <font>
      <sz val="8"/>
      <color rgb="FF081A2E"/>
      <name val="Calibri"/>
      <family val="0"/>
      <charset val="1"/>
    </font>
    <font>
      <sz val="7.5"/>
      <color rgb="FF4F4B3A"/>
      <name val="Calibri"/>
      <family val="0"/>
      <charset val="1"/>
    </font>
    <font>
      <sz val="8"/>
      <color rgb="FF4F4B3A"/>
      <name val="Calibri"/>
      <family val="0"/>
      <charset val="1"/>
    </font>
    <font>
      <sz val="8"/>
      <color rgb="FFC9C5B0"/>
      <name val="Calibri"/>
      <family val="0"/>
      <charset val="1"/>
    </font>
    <font>
      <sz val="8"/>
      <color rgb="FF9C9880"/>
      <name val="Calibri"/>
      <family val="0"/>
      <charset val="1"/>
    </font>
    <font>
      <i val="true"/>
      <sz val="7.5"/>
      <color rgb="FF6F6B55"/>
      <name val="Calibri"/>
      <family val="0"/>
      <charset val="1"/>
    </font>
    <font>
      <b val="true"/>
      <sz val="7"/>
      <color rgb="FF0E2A47"/>
      <name val="Calibri"/>
      <family val="0"/>
      <charset val="1"/>
    </font>
    <font>
      <b val="true"/>
      <sz val="8"/>
      <color rgb="FF081A2E"/>
      <name val="Calibri"/>
      <family val="0"/>
      <charset val="1"/>
    </font>
    <font>
      <b val="true"/>
      <sz val="8"/>
      <color rgb="FF4F4B3A"/>
      <name val="Calibri"/>
      <family val="0"/>
      <charset val="1"/>
    </font>
    <font>
      <b val="true"/>
      <sz val="9"/>
      <color rgb="FF2E5A10"/>
      <name val="Calibri"/>
      <family val="0"/>
      <charset val="1"/>
    </font>
    <font>
      <b val="true"/>
      <sz val="8"/>
      <color rgb="FF2E5A10"/>
      <name val="Calibri"/>
      <family val="0"/>
      <charset val="1"/>
    </font>
    <font>
      <sz val="7.5"/>
      <color rgb="FF2E5A10"/>
      <name val="Calibri"/>
      <family val="0"/>
      <charset val="1"/>
    </font>
    <font>
      <b val="true"/>
      <sz val="7.5"/>
      <color rgb="FF2E5A10"/>
      <name val="Calibri"/>
      <family val="0"/>
      <charset val="1"/>
    </font>
    <font>
      <b val="true"/>
      <sz val="8"/>
      <color rgb="FF6F6B55"/>
      <name val="Calibri"/>
      <family val="0"/>
      <charset val="1"/>
    </font>
    <font>
      <b val="true"/>
      <sz val="9"/>
      <color rgb="FF6F6B55"/>
      <name val="Calibri"/>
      <family val="0"/>
      <charset val="1"/>
    </font>
    <font>
      <b val="true"/>
      <sz val="10"/>
      <color rgb="FF0E2A47"/>
      <name val="Calibri"/>
      <family val="0"/>
      <charset val="1"/>
    </font>
    <font>
      <b val="true"/>
      <sz val="8"/>
      <color rgb="FF2F7F7A"/>
      <name val="Calibri"/>
      <family val="0"/>
      <charset val="1"/>
    </font>
    <font>
      <b val="true"/>
      <sz val="8"/>
      <color rgb="FFA4502F"/>
      <name val="Calibri"/>
      <family val="0"/>
      <charset val="1"/>
    </font>
    <font>
      <b val="true"/>
      <sz val="8"/>
      <color rgb="FF3D7CB8"/>
      <name val="Calibri"/>
      <family val="0"/>
      <charset val="1"/>
    </font>
    <font>
      <b val="true"/>
      <sz val="12"/>
      <color rgb="FF2E5A10"/>
      <name val="Calibri"/>
      <family val="0"/>
      <charset val="1"/>
    </font>
    <font>
      <sz val="11"/>
      <color rgb="FF081A2E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AFAF5"/>
        <bgColor rgb="FFF3F8EB"/>
      </patternFill>
    </fill>
    <fill>
      <patternFill patternType="solid">
        <fgColor rgb="FFE9F3DF"/>
        <bgColor rgb="FFEDEBE0"/>
      </patternFill>
    </fill>
    <fill>
      <patternFill patternType="solid">
        <fgColor rgb="FFEDEBE0"/>
        <bgColor rgb="FFE9F3DF"/>
      </patternFill>
    </fill>
    <fill>
      <patternFill patternType="solid">
        <fgColor rgb="FFFFFFFF"/>
        <bgColor rgb="FFFAFAF5"/>
      </patternFill>
    </fill>
    <fill>
      <patternFill patternType="solid">
        <fgColor rgb="FFF5F4EC"/>
        <bgColor rgb="FFF3F8EB"/>
      </patternFill>
    </fill>
    <fill>
      <patternFill patternType="solid">
        <fgColor rgb="FFF3F8EB"/>
        <bgColor rgb="FFF5F4E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C9C5B0"/>
      </left>
      <right/>
      <top/>
      <bottom/>
      <diagonal/>
    </border>
    <border diagonalUp="false" diagonalDown="false">
      <left/>
      <right/>
      <top/>
      <bottom style="medium">
        <color rgb="FF0E2A47"/>
      </bottom>
      <diagonal/>
    </border>
    <border diagonalUp="false" diagonalDown="false">
      <left style="thin">
        <color rgb="FFC9C5B0"/>
      </left>
      <right/>
      <top/>
      <bottom style="medium">
        <color rgb="FF0E2A47"/>
      </bottom>
      <diagonal/>
    </border>
    <border diagonalUp="false" diagonalDown="false">
      <left/>
      <right/>
      <top style="thin">
        <color rgb="FFDFDCCC"/>
      </top>
      <bottom style="thin">
        <color rgb="FFDFDCCC"/>
      </bottom>
      <diagonal/>
    </border>
    <border diagonalUp="false" diagonalDown="false">
      <left/>
      <right/>
      <top/>
      <bottom style="thin">
        <color rgb="FFEDEBE0"/>
      </bottom>
      <diagonal/>
    </border>
    <border diagonalUp="false" diagonalDown="false">
      <left style="thin">
        <color rgb="FFDFDCCC"/>
      </left>
      <right/>
      <top/>
      <bottom style="thin">
        <color rgb="FFEDEBE0"/>
      </bottom>
      <diagonal/>
    </border>
    <border diagonalUp="false" diagonalDown="false">
      <left style="thin">
        <color rgb="FFC9C5B0"/>
      </left>
      <right/>
      <top/>
      <bottom style="thin">
        <color rgb="FFEDEBE0"/>
      </bottom>
      <diagonal/>
    </border>
    <border diagonalUp="false" diagonalDown="false">
      <left/>
      <right/>
      <top/>
      <bottom style="thin">
        <color rgb="FFDFD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6">
    <dxf>
      <fill>
        <patternFill patternType="solid">
          <fgColor rgb="FFEDEBE0"/>
          <bgColor rgb="FF000000"/>
        </patternFill>
      </fill>
    </dxf>
    <dxf>
      <fill>
        <patternFill patternType="solid">
          <fgColor rgb="FFFAFA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E2A47"/>
          <bgColor rgb="FF000000"/>
        </patternFill>
      </fill>
    </dxf>
    <dxf>
      <fill>
        <patternFill patternType="solid">
          <fgColor rgb="FF2E5A10"/>
          <bgColor rgb="FF000000"/>
        </patternFill>
      </fill>
    </dxf>
    <dxf>
      <fill>
        <patternFill patternType="solid">
          <fgColor rgb="FF4F4B3A"/>
          <bgColor rgb="FF000000"/>
        </patternFill>
      </fill>
    </dxf>
    <dxf>
      <fill>
        <patternFill patternType="solid">
          <fgColor rgb="FF9C9880"/>
          <bgColor rgb="FF000000"/>
        </patternFill>
      </fill>
    </dxf>
    <dxf>
      <fill>
        <patternFill patternType="solid">
          <fgColor rgb="FF081A2E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C9C5B0"/>
          <bgColor rgb="FF000000"/>
        </patternFill>
      </fill>
    </dxf>
    <dxf>
      <fill>
        <patternFill patternType="solid">
          <fgColor rgb="FF2F7F7A"/>
          <bgColor rgb="FF000000"/>
        </patternFill>
      </fill>
    </dxf>
    <dxf>
      <fill>
        <patternFill patternType="solid">
          <fgColor rgb="FF3D7CB8"/>
          <bgColor rgb="FF000000"/>
        </patternFill>
      </fill>
    </dxf>
    <dxf>
      <fill>
        <patternFill patternType="solid">
          <fgColor rgb="FF6B4C8A"/>
          <bgColor rgb="FF000000"/>
        </patternFill>
      </fill>
    </dxf>
    <dxf>
      <fill>
        <patternFill patternType="solid">
          <fgColor rgb="FF6F6B55"/>
          <bgColor rgb="FF000000"/>
        </patternFill>
      </fill>
    </dxf>
    <dxf>
      <fill>
        <patternFill patternType="solid">
          <fgColor rgb="FFA4502F"/>
          <bgColor rgb="FF000000"/>
        </patternFill>
      </fill>
    </dxf>
    <dxf>
      <fill>
        <patternFill patternType="solid">
          <fgColor rgb="FFB7862B"/>
          <bgColor rgb="FF000000"/>
        </patternFill>
      </fill>
    </dxf>
    <dxf>
      <fill>
        <patternFill patternType="solid">
          <fgColor rgb="FFFDE4E1"/>
          <bgColor rgb="FF000000"/>
        </patternFill>
      </fill>
    </dxf>
    <dxf>
      <fill>
        <patternFill>
          <bgColor rgb="FF9C9880"/>
        </patternFill>
      </fill>
    </dxf>
    <dxf>
      <fill>
        <patternFill>
          <bgColor rgb="FF0E2A47"/>
        </patternFill>
      </fill>
    </dxf>
    <dxf>
      <fill>
        <patternFill>
          <bgColor rgb="FFB9C7D6"/>
        </patternFill>
      </fill>
    </dxf>
    <dxf>
      <fill>
        <patternFill>
          <bgColor rgb="FFA4502F"/>
        </patternFill>
      </fill>
    </dxf>
    <dxf>
      <fill>
        <patternFill>
          <bgColor rgb="FFEBCDBF"/>
        </patternFill>
      </fill>
    </dxf>
    <dxf>
      <fill>
        <patternFill>
          <bgColor rgb="FFB7862B"/>
        </patternFill>
      </fill>
    </dxf>
    <dxf>
      <fill>
        <patternFill>
          <bgColor rgb="FFEEDDB5"/>
        </patternFill>
      </fill>
    </dxf>
    <dxf>
      <fill>
        <patternFill>
          <bgColor rgb="FF2F7F7A"/>
        </patternFill>
      </fill>
    </dxf>
    <dxf>
      <fill>
        <patternFill>
          <bgColor rgb="FFBFDDD9"/>
        </patternFill>
      </fill>
    </dxf>
    <dxf>
      <fill>
        <patternFill>
          <bgColor rgb="FF6B4C8A"/>
        </patternFill>
      </fill>
    </dxf>
    <dxf>
      <fill>
        <patternFill>
          <bgColor rgb="FFD9CCE6"/>
        </patternFill>
      </fill>
    </dxf>
    <dxf>
      <fill>
        <patternFill>
          <bgColor rgb="FF3D7CB8"/>
        </patternFill>
      </fill>
    </dxf>
    <dxf>
      <fill>
        <patternFill>
          <bgColor rgb="FFC8DCEF"/>
        </patternFill>
      </fill>
    </dxf>
    <dxf>
      <fill>
        <patternFill>
          <bgColor rgb="FF6F6B55"/>
        </patternFill>
      </fill>
    </dxf>
    <dxf>
      <fill>
        <patternFill>
          <bgColor rgb="FFDFDCCC"/>
        </patternFill>
      </fill>
    </dxf>
    <dxf>
      <font>
        <b val="1"/>
        <color rgb="FF0E2A47"/>
      </font>
      <fill>
        <patternFill>
          <bgColor rgb="FFE6ECF3"/>
        </patternFill>
      </fill>
    </dxf>
    <dxf>
      <font>
        <b val="1"/>
        <color rgb="FFB42318"/>
      </font>
      <fill>
        <patternFill>
          <bgColor rgb="FFFDE4E1"/>
        </patternFill>
      </fill>
    </dxf>
    <dxf>
      <font>
        <b val="1"/>
        <color rgb="FFB42318"/>
      </font>
    </dxf>
    <dxf>
      <font>
        <name val="Calibri"/>
        <charset val="1"/>
        <family val="0"/>
        <b val="1"/>
        <color rgb="FF0E2A47"/>
        <sz val="8"/>
      </font>
    </dxf>
    <dxf>
      <font>
        <name val="Calibri"/>
        <charset val="1"/>
        <family val="0"/>
        <b val="1"/>
        <color rgb="FFA4502F"/>
        <sz val="8"/>
      </font>
    </dxf>
    <dxf>
      <font>
        <name val="Calibri"/>
        <charset val="1"/>
        <family val="0"/>
        <b val="1"/>
        <color rgb="FFB7862B"/>
        <sz val="8"/>
      </font>
    </dxf>
    <dxf>
      <font>
        <name val="Calibri"/>
        <charset val="1"/>
        <family val="0"/>
        <b val="1"/>
        <color rgb="FF2F7F7A"/>
        <sz val="8"/>
      </font>
    </dxf>
    <dxf>
      <font>
        <name val="Calibri"/>
        <charset val="1"/>
        <family val="0"/>
        <b val="1"/>
        <color rgb="FF6B4C8A"/>
        <sz val="8"/>
      </font>
    </dxf>
    <dxf>
      <font>
        <name val="Calibri"/>
        <charset val="1"/>
        <family val="0"/>
        <b val="1"/>
        <color rgb="FF3D7CB8"/>
        <sz val="8"/>
      </font>
    </dxf>
    <dxf>
      <font>
        <name val="Calibri"/>
        <charset val="1"/>
        <family val="0"/>
        <b val="1"/>
        <color rgb="FF6F6B55"/>
        <sz val="8"/>
      </font>
    </dxf>
    <dxf>
      <font>
        <b val="1"/>
        <color rgb="FF2E5A10"/>
      </font>
    </dxf>
    <dxf>
      <font>
        <b val="1"/>
        <color rgb="FF0E2A47"/>
      </font>
    </dxf>
    <dxf>
      <font>
        <i val="1"/>
        <color rgb="FF9C9880"/>
      </font>
    </dxf>
  </dxfs>
  <colors>
    <indexedColors>
      <rgbColor rgb="FF000000"/>
      <rgbColor rgb="FFFFFFFF"/>
      <rgbColor rgb="FFFF0000"/>
      <rgbColor rgb="FF00FF00"/>
      <rgbColor rgb="FF0000FF"/>
      <rgbColor rgb="FFEDEBE0"/>
      <rgbColor rgb="FFFF00FF"/>
      <rgbColor rgb="FF00FFFF"/>
      <rgbColor rgb="FF800000"/>
      <rgbColor rgb="FF008000"/>
      <rgbColor rgb="FF000080"/>
      <rgbColor rgb="FFB7862B"/>
      <rgbColor rgb="FF800080"/>
      <rgbColor rgb="FF008080"/>
      <rgbColor rgb="FFC9C5B0"/>
      <rgbColor rgb="FF6F6B55"/>
      <rgbColor rgb="FFBFDDD9"/>
      <rgbColor rgb="FFA4502F"/>
      <rgbColor rgb="FFF3F8EB"/>
      <rgbColor rgb="FFE6ECF3"/>
      <rgbColor rgb="FF660066"/>
      <rgbColor rgb="FFFF8080"/>
      <rgbColor rgb="FF0066CC"/>
      <rgbColor rgb="FFD9CCE6"/>
      <rgbColor rgb="FF000080"/>
      <rgbColor rgb="FFFF00FF"/>
      <rgbColor rgb="FFFAFAF5"/>
      <rgbColor rgb="FF00FFFF"/>
      <rgbColor rgb="FF800080"/>
      <rgbColor rgb="FF800000"/>
      <rgbColor rgb="FF008080"/>
      <rgbColor rgb="FF0000FF"/>
      <rgbColor rgb="FF00CCFF"/>
      <rgbColor rgb="FFF5F4EC"/>
      <rgbColor rgb="FFE9F3DF"/>
      <rgbColor rgb="FFEEDDB5"/>
      <rgbColor rgb="FFB9C7D6"/>
      <rgbColor rgb="FFDFDCCC"/>
      <rgbColor rgb="FFC8DCEF"/>
      <rgbColor rgb="FFEBCDBF"/>
      <rgbColor rgb="FF3D7CB8"/>
      <rgbColor rgb="FF33CCCC"/>
      <rgbColor rgb="FF6FB43A"/>
      <rgbColor rgb="FFFDE4E1"/>
      <rgbColor rgb="FFFF9900"/>
      <rgbColor rgb="FFFF6600"/>
      <rgbColor rgb="FF6B4C8A"/>
      <rgbColor rgb="FF9C9880"/>
      <rgbColor rgb="FF0E2A47"/>
      <rgbColor rgb="FF2F7F7A"/>
      <rgbColor rgb="FF081A2E"/>
      <rgbColor rgb="FF2E5A10"/>
      <rgbColor rgb="FFB42318"/>
      <rgbColor rgb="FF993366"/>
      <rgbColor rgb="FF333399"/>
      <rgbColor rgb="FF4F4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2A47"/>
    <outlinePr summaryBelow="0"/>
    <pageSetUpPr fitToPage="true"/>
  </sheetPr>
  <dimension ref="A1:CB9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3" outlineLevelCol="1"/>
  <cols>
    <col collapsed="false" customWidth="true" hidden="false" outlineLevel="0" max="1" min="1" style="0" width="5"/>
    <col collapsed="false" customWidth="true" hidden="false" outlineLevel="0" max="3" min="2" style="0" width="2.4"/>
    <col collapsed="false" customWidth="true" hidden="false" outlineLevel="0" max="4" min="4" style="0" width="39.51"/>
    <col collapsed="false" customWidth="true" hidden="true" outlineLevel="1" max="6" min="5" style="0" width="48"/>
    <col collapsed="false" customWidth="true" hidden="false" outlineLevel="0" max="7" min="7" style="0" width="8.5"/>
    <col collapsed="false" customWidth="true" hidden="false" outlineLevel="0" max="8" min="8" style="0" width="13.5"/>
    <col collapsed="false" customWidth="true" hidden="false" outlineLevel="0" max="9" min="9" style="0" width="8.5"/>
    <col collapsed="false" customWidth="true" hidden="false" outlineLevel="0" max="10" min="10" style="0" width="13"/>
    <col collapsed="false" customWidth="true" hidden="true" outlineLevel="1" max="14" min="11" style="0" width="4"/>
    <col collapsed="false" customWidth="true" hidden="false" outlineLevel="0" max="15" min="15" style="0" width="6.51"/>
    <col collapsed="false" customWidth="true" hidden="false" outlineLevel="0" max="16" min="16" style="0" width="8.5"/>
    <col collapsed="false" customWidth="true" hidden="false" outlineLevel="0" max="17" min="17" style="0" width="1"/>
    <col collapsed="false" customWidth="true" hidden="false" outlineLevel="0" max="80" min="18" style="0" width="2.6"/>
  </cols>
  <sheetData>
    <row r="1" customFormat="false" ht="27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customFormat="false" ht="1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</row>
    <row r="3" customFormat="false" ht="30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"/>
      <c r="R3" s="5" t="s">
        <v>3</v>
      </c>
      <c r="S3" s="5"/>
      <c r="T3" s="5"/>
      <c r="U3" s="5"/>
      <c r="V3" s="5"/>
      <c r="W3" s="5"/>
      <c r="X3" s="5"/>
      <c r="Y3" s="5" t="s">
        <v>4</v>
      </c>
      <c r="Z3" s="5"/>
      <c r="AA3" s="5"/>
      <c r="AB3" s="5"/>
      <c r="AC3" s="5"/>
      <c r="AD3" s="5"/>
      <c r="AE3" s="5"/>
      <c r="AF3" s="5" t="s">
        <v>5</v>
      </c>
      <c r="AG3" s="5"/>
      <c r="AH3" s="5"/>
      <c r="AI3" s="5"/>
      <c r="AJ3" s="5"/>
      <c r="AK3" s="5"/>
      <c r="AL3" s="5"/>
      <c r="AM3" s="5" t="s">
        <v>6</v>
      </c>
      <c r="AN3" s="5"/>
      <c r="AO3" s="5"/>
      <c r="AP3" s="5"/>
      <c r="AQ3" s="5"/>
      <c r="AR3" s="5"/>
      <c r="AS3" s="5"/>
      <c r="AT3" s="5" t="s">
        <v>7</v>
      </c>
      <c r="AU3" s="5"/>
      <c r="AV3" s="5"/>
      <c r="AW3" s="5"/>
      <c r="AX3" s="5"/>
      <c r="AY3" s="5"/>
      <c r="AZ3" s="5"/>
      <c r="BA3" s="5" t="s">
        <v>8</v>
      </c>
      <c r="BB3" s="5"/>
      <c r="BC3" s="5"/>
      <c r="BD3" s="5"/>
      <c r="BE3" s="5"/>
      <c r="BF3" s="5"/>
      <c r="BG3" s="5"/>
      <c r="BH3" s="5" t="s">
        <v>9</v>
      </c>
      <c r="BI3" s="5"/>
      <c r="BJ3" s="5"/>
      <c r="BK3" s="5"/>
      <c r="BL3" s="5"/>
      <c r="BM3" s="5"/>
      <c r="BN3" s="5"/>
      <c r="BO3" s="5" t="s">
        <v>10</v>
      </c>
      <c r="BP3" s="5"/>
      <c r="BQ3" s="5"/>
      <c r="BR3" s="5"/>
      <c r="BS3" s="5"/>
      <c r="BT3" s="5"/>
      <c r="BU3" s="5"/>
      <c r="BV3" s="5" t="s">
        <v>11</v>
      </c>
      <c r="BW3" s="5"/>
      <c r="BX3" s="5"/>
      <c r="BY3" s="5"/>
      <c r="BZ3" s="5"/>
      <c r="CA3" s="5"/>
      <c r="CB3" s="5"/>
    </row>
    <row r="4" customFormat="false" ht="25.5" hidden="false" customHeight="true" outlineLevel="0" collapsed="false">
      <c r="A4" s="6" t="s">
        <v>12</v>
      </c>
      <c r="B4" s="7" t="s">
        <v>13</v>
      </c>
      <c r="C4" s="7"/>
      <c r="D4" s="7"/>
      <c r="E4" s="8" t="s">
        <v>14</v>
      </c>
      <c r="F4" s="8" t="s">
        <v>15</v>
      </c>
      <c r="G4" s="6" t="s">
        <v>16</v>
      </c>
      <c r="H4" s="8" t="s">
        <v>17</v>
      </c>
      <c r="I4" s="8" t="s">
        <v>18</v>
      </c>
      <c r="J4" s="8" t="s">
        <v>19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8" t="s">
        <v>25</v>
      </c>
      <c r="Q4" s="2"/>
      <c r="R4" s="9" t="n">
        <v>46314</v>
      </c>
      <c r="S4" s="10" t="n">
        <v>46315</v>
      </c>
      <c r="T4" s="10" t="n">
        <v>46316</v>
      </c>
      <c r="U4" s="10" t="n">
        <v>46317</v>
      </c>
      <c r="V4" s="10" t="n">
        <v>46318</v>
      </c>
      <c r="W4" s="11" t="n">
        <v>46319</v>
      </c>
      <c r="X4" s="11" t="n">
        <v>46320</v>
      </c>
      <c r="Y4" s="9" t="n">
        <v>46321</v>
      </c>
      <c r="Z4" s="10" t="n">
        <v>46322</v>
      </c>
      <c r="AA4" s="10" t="n">
        <v>46323</v>
      </c>
      <c r="AB4" s="10" t="n">
        <v>46324</v>
      </c>
      <c r="AC4" s="10" t="n">
        <v>46325</v>
      </c>
      <c r="AD4" s="11" t="n">
        <v>46326</v>
      </c>
      <c r="AE4" s="11" t="n">
        <v>46327</v>
      </c>
      <c r="AF4" s="9" t="n">
        <v>46328</v>
      </c>
      <c r="AG4" s="10" t="n">
        <v>46329</v>
      </c>
      <c r="AH4" s="12" t="n">
        <v>46330</v>
      </c>
      <c r="AI4" s="10" t="n">
        <v>46331</v>
      </c>
      <c r="AJ4" s="10" t="n">
        <v>46332</v>
      </c>
      <c r="AK4" s="11" t="n">
        <v>46333</v>
      </c>
      <c r="AL4" s="11" t="n">
        <v>46334</v>
      </c>
      <c r="AM4" s="9" t="n">
        <v>46335</v>
      </c>
      <c r="AN4" s="10" t="n">
        <v>46336</v>
      </c>
      <c r="AO4" s="10" t="n">
        <v>46337</v>
      </c>
      <c r="AP4" s="10" t="n">
        <v>46338</v>
      </c>
      <c r="AQ4" s="10" t="n">
        <v>46339</v>
      </c>
      <c r="AR4" s="11" t="n">
        <v>46340</v>
      </c>
      <c r="AS4" s="11" t="n">
        <v>46341</v>
      </c>
      <c r="AT4" s="9" t="n">
        <v>46342</v>
      </c>
      <c r="AU4" s="10" t="n">
        <v>46343</v>
      </c>
      <c r="AV4" s="10" t="n">
        <v>46344</v>
      </c>
      <c r="AW4" s="10" t="n">
        <v>46345</v>
      </c>
      <c r="AX4" s="10" t="n">
        <v>46346</v>
      </c>
      <c r="AY4" s="11" t="n">
        <v>46347</v>
      </c>
      <c r="AZ4" s="11" t="n">
        <v>46348</v>
      </c>
      <c r="BA4" s="9" t="n">
        <v>46349</v>
      </c>
      <c r="BB4" s="10" t="n">
        <v>46350</v>
      </c>
      <c r="BC4" s="10" t="n">
        <v>46351</v>
      </c>
      <c r="BD4" s="10" t="n">
        <v>46352</v>
      </c>
      <c r="BE4" s="10" t="n">
        <v>46353</v>
      </c>
      <c r="BF4" s="11" t="n">
        <v>46354</v>
      </c>
      <c r="BG4" s="11" t="n">
        <v>46355</v>
      </c>
      <c r="BH4" s="9" t="n">
        <v>46356</v>
      </c>
      <c r="BI4" s="10" t="n">
        <v>46357</v>
      </c>
      <c r="BJ4" s="10" t="n">
        <v>46358</v>
      </c>
      <c r="BK4" s="10" t="n">
        <v>46359</v>
      </c>
      <c r="BL4" s="10" t="n">
        <v>46360</v>
      </c>
      <c r="BM4" s="11" t="n">
        <v>46361</v>
      </c>
      <c r="BN4" s="11" t="n">
        <v>46362</v>
      </c>
      <c r="BO4" s="9" t="n">
        <v>46363</v>
      </c>
      <c r="BP4" s="10" t="n">
        <v>46364</v>
      </c>
      <c r="BQ4" s="10" t="n">
        <v>46365</v>
      </c>
      <c r="BR4" s="10" t="n">
        <v>46366</v>
      </c>
      <c r="BS4" s="10" t="n">
        <v>46367</v>
      </c>
      <c r="BT4" s="11" t="n">
        <v>46368</v>
      </c>
      <c r="BU4" s="11" t="n">
        <v>46369</v>
      </c>
      <c r="BV4" s="9" t="n">
        <v>46370</v>
      </c>
      <c r="BW4" s="10" t="n">
        <v>46371</v>
      </c>
      <c r="BX4" s="10" t="n">
        <v>46372</v>
      </c>
      <c r="BY4" s="10" t="n">
        <v>46373</v>
      </c>
      <c r="BZ4" s="10" t="n">
        <v>46374</v>
      </c>
      <c r="CA4" s="11" t="n">
        <v>46375</v>
      </c>
      <c r="CB4" s="11" t="n">
        <v>46376</v>
      </c>
    </row>
    <row r="5" customFormat="false" ht="18" hidden="false" customHeight="true" outlineLevel="0" collapsed="false">
      <c r="A5" s="13" t="s">
        <v>26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</row>
    <row r="6" customFormat="false" ht="15" hidden="false" customHeight="true" outlineLevel="1" collapsed="false">
      <c r="A6" s="15" t="s">
        <v>27</v>
      </c>
      <c r="B6" s="16" t="s">
        <v>28</v>
      </c>
      <c r="C6" s="17"/>
      <c r="D6" s="17"/>
      <c r="E6" s="18" t="s">
        <v>29</v>
      </c>
      <c r="F6" s="19"/>
      <c r="G6" s="20" t="s">
        <v>30</v>
      </c>
      <c r="H6" s="21" t="s">
        <v>31</v>
      </c>
      <c r="I6" s="22" t="s">
        <v>32</v>
      </c>
      <c r="J6" s="19"/>
      <c r="K6" s="15" t="s">
        <v>33</v>
      </c>
      <c r="L6" s="23"/>
      <c r="M6" s="24"/>
      <c r="N6" s="23"/>
      <c r="O6" s="23"/>
      <c r="P6" s="22" t="s">
        <v>34</v>
      </c>
      <c r="Q6" s="17"/>
      <c r="R6" s="25" t="s">
        <v>35</v>
      </c>
      <c r="S6" s="17"/>
      <c r="T6" s="17"/>
      <c r="U6" s="17"/>
      <c r="V6" s="17"/>
      <c r="W6" s="26"/>
      <c r="X6" s="26"/>
      <c r="Y6" s="27"/>
      <c r="Z6" s="17"/>
      <c r="AA6" s="17"/>
      <c r="AB6" s="17"/>
      <c r="AC6" s="17"/>
      <c r="AD6" s="26"/>
      <c r="AE6" s="26"/>
      <c r="AF6" s="27"/>
      <c r="AG6" s="17"/>
      <c r="AH6" s="28"/>
      <c r="AI6" s="17"/>
      <c r="AJ6" s="17"/>
      <c r="AK6" s="26"/>
      <c r="AL6" s="26"/>
      <c r="AM6" s="27"/>
      <c r="AN6" s="17"/>
      <c r="AO6" s="17"/>
      <c r="AP6" s="17"/>
      <c r="AQ6" s="17"/>
      <c r="AR6" s="26"/>
      <c r="AS6" s="26"/>
      <c r="AT6" s="27"/>
      <c r="AU6" s="17"/>
      <c r="AV6" s="17"/>
      <c r="AW6" s="17"/>
      <c r="AX6" s="17"/>
      <c r="AY6" s="26"/>
      <c r="AZ6" s="26"/>
      <c r="BA6" s="27"/>
      <c r="BB6" s="17"/>
      <c r="BC6" s="17"/>
      <c r="BD6" s="17"/>
      <c r="BE6" s="17"/>
      <c r="BF6" s="26"/>
      <c r="BG6" s="26"/>
      <c r="BH6" s="27"/>
      <c r="BI6" s="17"/>
      <c r="BJ6" s="17"/>
      <c r="BK6" s="17"/>
      <c r="BL6" s="17"/>
      <c r="BM6" s="26"/>
      <c r="BN6" s="26"/>
      <c r="BO6" s="27"/>
      <c r="BP6" s="17"/>
      <c r="BQ6" s="17"/>
      <c r="BR6" s="17"/>
      <c r="BS6" s="17"/>
      <c r="BT6" s="26"/>
      <c r="BU6" s="26"/>
      <c r="BV6" s="27"/>
      <c r="BW6" s="17"/>
      <c r="BX6" s="17"/>
      <c r="BY6" s="17"/>
      <c r="BZ6" s="17"/>
      <c r="CA6" s="26"/>
      <c r="CB6" s="26"/>
    </row>
    <row r="7" customFormat="false" ht="3.75" hidden="false" customHeight="true" outlineLevel="0" collapsed="false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</row>
    <row r="8" customFormat="false" ht="18" hidden="false" customHeight="true" outlineLevel="0" collapsed="false">
      <c r="A8" s="13" t="s">
        <v>36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</row>
    <row r="9" customFormat="false" ht="15" hidden="false" customHeight="true" outlineLevel="1" collapsed="false">
      <c r="A9" s="15" t="s">
        <v>37</v>
      </c>
      <c r="B9" s="16" t="s">
        <v>38</v>
      </c>
      <c r="C9" s="17"/>
      <c r="D9" s="17"/>
      <c r="E9" s="18" t="s">
        <v>39</v>
      </c>
      <c r="F9" s="19"/>
      <c r="G9" s="20" t="s">
        <v>30</v>
      </c>
      <c r="H9" s="21" t="s">
        <v>31</v>
      </c>
      <c r="I9" s="22" t="s">
        <v>32</v>
      </c>
      <c r="J9" s="19"/>
      <c r="K9" s="15" t="s">
        <v>40</v>
      </c>
      <c r="L9" s="23" t="n">
        <v>46314</v>
      </c>
      <c r="M9" s="24" t="n">
        <v>3</v>
      </c>
      <c r="N9" s="23"/>
      <c r="O9" s="23" t="n">
        <f aca="false">IF(ISNUMBER(L9),L9+M9-1,"")</f>
        <v>46316</v>
      </c>
      <c r="P9" s="22" t="s">
        <v>41</v>
      </c>
      <c r="Q9" s="17"/>
      <c r="R9" s="27"/>
      <c r="S9" s="17"/>
      <c r="T9" s="17"/>
      <c r="U9" s="17"/>
      <c r="V9" s="17"/>
      <c r="W9" s="26"/>
      <c r="X9" s="26"/>
      <c r="Y9" s="27"/>
      <c r="Z9" s="17"/>
      <c r="AA9" s="17"/>
      <c r="AB9" s="17"/>
      <c r="AC9" s="17"/>
      <c r="AD9" s="26"/>
      <c r="AE9" s="26"/>
      <c r="AF9" s="27"/>
      <c r="AG9" s="17"/>
      <c r="AH9" s="28"/>
      <c r="AI9" s="17"/>
      <c r="AJ9" s="17"/>
      <c r="AK9" s="26"/>
      <c r="AL9" s="26"/>
      <c r="AM9" s="27"/>
      <c r="AN9" s="17"/>
      <c r="AO9" s="17"/>
      <c r="AP9" s="17"/>
      <c r="AQ9" s="17"/>
      <c r="AR9" s="26"/>
      <c r="AS9" s="26"/>
      <c r="AT9" s="27"/>
      <c r="AU9" s="17"/>
      <c r="AV9" s="17"/>
      <c r="AW9" s="17"/>
      <c r="AX9" s="17"/>
      <c r="AY9" s="26"/>
      <c r="AZ9" s="26"/>
      <c r="BA9" s="27"/>
      <c r="BB9" s="17"/>
      <c r="BC9" s="17"/>
      <c r="BD9" s="17"/>
      <c r="BE9" s="17"/>
      <c r="BF9" s="26"/>
      <c r="BG9" s="26"/>
      <c r="BH9" s="27"/>
      <c r="BI9" s="17"/>
      <c r="BJ9" s="17"/>
      <c r="BK9" s="17"/>
      <c r="BL9" s="17"/>
      <c r="BM9" s="26"/>
      <c r="BN9" s="26"/>
      <c r="BO9" s="27"/>
      <c r="BP9" s="17"/>
      <c r="BQ9" s="17"/>
      <c r="BR9" s="17"/>
      <c r="BS9" s="17"/>
      <c r="BT9" s="26"/>
      <c r="BU9" s="26"/>
      <c r="BV9" s="27"/>
      <c r="BW9" s="17"/>
      <c r="BX9" s="17"/>
      <c r="BY9" s="17"/>
      <c r="BZ9" s="17"/>
      <c r="CA9" s="26"/>
      <c r="CB9" s="26"/>
    </row>
    <row r="10" customFormat="false" ht="15" hidden="false" customHeight="true" outlineLevel="1" collapsed="false">
      <c r="A10" s="15" t="s">
        <v>42</v>
      </c>
      <c r="B10" s="16" t="s">
        <v>43</v>
      </c>
      <c r="C10" s="17"/>
      <c r="D10" s="17"/>
      <c r="E10" s="18" t="s">
        <v>44</v>
      </c>
      <c r="F10" s="19"/>
      <c r="G10" s="20" t="s">
        <v>30</v>
      </c>
      <c r="H10" s="21" t="s">
        <v>31</v>
      </c>
      <c r="I10" s="22" t="s">
        <v>32</v>
      </c>
      <c r="J10" s="19"/>
      <c r="K10" s="15" t="s">
        <v>40</v>
      </c>
      <c r="L10" s="23" t="n">
        <v>46314</v>
      </c>
      <c r="M10" s="24" t="n">
        <v>3</v>
      </c>
      <c r="N10" s="23"/>
      <c r="O10" s="23" t="n">
        <f aca="false">IF(ISNUMBER(L10),L10+M10-1,"")</f>
        <v>46316</v>
      </c>
      <c r="P10" s="22" t="s">
        <v>41</v>
      </c>
      <c r="Q10" s="17"/>
      <c r="R10" s="27"/>
      <c r="S10" s="17"/>
      <c r="T10" s="17"/>
      <c r="U10" s="17"/>
      <c r="V10" s="17"/>
      <c r="W10" s="26"/>
      <c r="X10" s="26"/>
      <c r="Y10" s="27"/>
      <c r="Z10" s="17"/>
      <c r="AA10" s="17"/>
      <c r="AB10" s="17"/>
      <c r="AC10" s="17"/>
      <c r="AD10" s="26"/>
      <c r="AE10" s="26"/>
      <c r="AF10" s="27"/>
      <c r="AG10" s="17"/>
      <c r="AH10" s="28"/>
      <c r="AI10" s="17"/>
      <c r="AJ10" s="17"/>
      <c r="AK10" s="26"/>
      <c r="AL10" s="26"/>
      <c r="AM10" s="27"/>
      <c r="AN10" s="17"/>
      <c r="AO10" s="17"/>
      <c r="AP10" s="17"/>
      <c r="AQ10" s="17"/>
      <c r="AR10" s="26"/>
      <c r="AS10" s="26"/>
      <c r="AT10" s="27"/>
      <c r="AU10" s="17"/>
      <c r="AV10" s="17"/>
      <c r="AW10" s="17"/>
      <c r="AX10" s="17"/>
      <c r="AY10" s="26"/>
      <c r="AZ10" s="26"/>
      <c r="BA10" s="27"/>
      <c r="BB10" s="17"/>
      <c r="BC10" s="17"/>
      <c r="BD10" s="17"/>
      <c r="BE10" s="17"/>
      <c r="BF10" s="26"/>
      <c r="BG10" s="26"/>
      <c r="BH10" s="27"/>
      <c r="BI10" s="17"/>
      <c r="BJ10" s="17"/>
      <c r="BK10" s="17"/>
      <c r="BL10" s="17"/>
      <c r="BM10" s="26"/>
      <c r="BN10" s="26"/>
      <c r="BO10" s="27"/>
      <c r="BP10" s="17"/>
      <c r="BQ10" s="17"/>
      <c r="BR10" s="17"/>
      <c r="BS10" s="17"/>
      <c r="BT10" s="26"/>
      <c r="BU10" s="26"/>
      <c r="BV10" s="27"/>
      <c r="BW10" s="17"/>
      <c r="BX10" s="17"/>
      <c r="BY10" s="17"/>
      <c r="BZ10" s="17"/>
      <c r="CA10" s="26"/>
      <c r="CB10" s="26"/>
    </row>
    <row r="11" customFormat="false" ht="15" hidden="false" customHeight="true" outlineLevel="1" collapsed="false">
      <c r="A11" s="15" t="s">
        <v>45</v>
      </c>
      <c r="B11" s="16" t="s">
        <v>46</v>
      </c>
      <c r="C11" s="17"/>
      <c r="D11" s="17"/>
      <c r="E11" s="18" t="s">
        <v>47</v>
      </c>
      <c r="F11" s="19"/>
      <c r="G11" s="30" t="s">
        <v>37</v>
      </c>
      <c r="H11" s="21" t="s">
        <v>31</v>
      </c>
      <c r="I11" s="22" t="s">
        <v>32</v>
      </c>
      <c r="J11" s="19"/>
      <c r="K11" s="15" t="s">
        <v>40</v>
      </c>
      <c r="L11" s="23" t="n">
        <f aca="false">MAX(DATE(2026,10,23),IF(COUNT(O9)=0,0,MAX(O9)+1))</f>
        <v>46318</v>
      </c>
      <c r="M11" s="24" t="n">
        <v>4</v>
      </c>
      <c r="N11" s="23"/>
      <c r="O11" s="23" t="n">
        <f aca="false">IF(ISNUMBER(L11),L11+M11-1,"")</f>
        <v>46321</v>
      </c>
      <c r="P11" s="22" t="s">
        <v>41</v>
      </c>
      <c r="Q11" s="17"/>
      <c r="R11" s="27"/>
      <c r="S11" s="17"/>
      <c r="T11" s="17"/>
      <c r="U11" s="17"/>
      <c r="V11" s="17"/>
      <c r="W11" s="26"/>
      <c r="X11" s="26"/>
      <c r="Y11" s="27"/>
      <c r="Z11" s="17"/>
      <c r="AA11" s="17"/>
      <c r="AB11" s="17"/>
      <c r="AC11" s="17"/>
      <c r="AD11" s="26"/>
      <c r="AE11" s="26"/>
      <c r="AF11" s="27"/>
      <c r="AG11" s="17"/>
      <c r="AH11" s="28"/>
      <c r="AI11" s="17"/>
      <c r="AJ11" s="17"/>
      <c r="AK11" s="26"/>
      <c r="AL11" s="26"/>
      <c r="AM11" s="27"/>
      <c r="AN11" s="17"/>
      <c r="AO11" s="17"/>
      <c r="AP11" s="17"/>
      <c r="AQ11" s="17"/>
      <c r="AR11" s="26"/>
      <c r="AS11" s="26"/>
      <c r="AT11" s="27"/>
      <c r="AU11" s="17"/>
      <c r="AV11" s="17"/>
      <c r="AW11" s="17"/>
      <c r="AX11" s="17"/>
      <c r="AY11" s="26"/>
      <c r="AZ11" s="26"/>
      <c r="BA11" s="27"/>
      <c r="BB11" s="17"/>
      <c r="BC11" s="17"/>
      <c r="BD11" s="17"/>
      <c r="BE11" s="17"/>
      <c r="BF11" s="26"/>
      <c r="BG11" s="26"/>
      <c r="BH11" s="27"/>
      <c r="BI11" s="17"/>
      <c r="BJ11" s="17"/>
      <c r="BK11" s="17"/>
      <c r="BL11" s="17"/>
      <c r="BM11" s="26"/>
      <c r="BN11" s="26"/>
      <c r="BO11" s="27"/>
      <c r="BP11" s="17"/>
      <c r="BQ11" s="17"/>
      <c r="BR11" s="17"/>
      <c r="BS11" s="17"/>
      <c r="BT11" s="26"/>
      <c r="BU11" s="26"/>
      <c r="BV11" s="27"/>
      <c r="BW11" s="17"/>
      <c r="BX11" s="17"/>
      <c r="BY11" s="17"/>
      <c r="BZ11" s="17"/>
      <c r="CA11" s="26"/>
      <c r="CB11" s="26"/>
    </row>
    <row r="12" customFormat="false" ht="15" hidden="false" customHeight="true" outlineLevel="1" collapsed="false">
      <c r="A12" s="15" t="s">
        <v>48</v>
      </c>
      <c r="B12" s="16" t="s">
        <v>49</v>
      </c>
      <c r="C12" s="17"/>
      <c r="D12" s="17"/>
      <c r="E12" s="18" t="s">
        <v>50</v>
      </c>
      <c r="F12" s="19"/>
      <c r="G12" s="30" t="s">
        <v>42</v>
      </c>
      <c r="H12" s="21" t="s">
        <v>31</v>
      </c>
      <c r="I12" s="22" t="s">
        <v>32</v>
      </c>
      <c r="J12" s="19"/>
      <c r="K12" s="15" t="s">
        <v>40</v>
      </c>
      <c r="L12" s="23" t="n">
        <f aca="false">MAX(DATE(2026,10,23),IF(COUNT(O10)=0,0,MAX(O10)+1))</f>
        <v>46318</v>
      </c>
      <c r="M12" s="24" t="n">
        <v>4</v>
      </c>
      <c r="N12" s="23"/>
      <c r="O12" s="23" t="n">
        <f aca="false">IF(ISNUMBER(L12),L12+M12-1,"")</f>
        <v>46321</v>
      </c>
      <c r="P12" s="22" t="s">
        <v>41</v>
      </c>
      <c r="Q12" s="17"/>
      <c r="R12" s="27"/>
      <c r="S12" s="17"/>
      <c r="T12" s="17"/>
      <c r="U12" s="17"/>
      <c r="V12" s="17"/>
      <c r="W12" s="26"/>
      <c r="X12" s="26"/>
      <c r="Y12" s="27"/>
      <c r="Z12" s="17"/>
      <c r="AA12" s="17"/>
      <c r="AB12" s="17"/>
      <c r="AC12" s="17"/>
      <c r="AD12" s="26"/>
      <c r="AE12" s="26"/>
      <c r="AF12" s="27"/>
      <c r="AG12" s="17"/>
      <c r="AH12" s="28"/>
      <c r="AI12" s="17"/>
      <c r="AJ12" s="17"/>
      <c r="AK12" s="26"/>
      <c r="AL12" s="26"/>
      <c r="AM12" s="27"/>
      <c r="AN12" s="17"/>
      <c r="AO12" s="17"/>
      <c r="AP12" s="17"/>
      <c r="AQ12" s="17"/>
      <c r="AR12" s="26"/>
      <c r="AS12" s="26"/>
      <c r="AT12" s="27"/>
      <c r="AU12" s="17"/>
      <c r="AV12" s="17"/>
      <c r="AW12" s="17"/>
      <c r="AX12" s="17"/>
      <c r="AY12" s="26"/>
      <c r="AZ12" s="26"/>
      <c r="BA12" s="27"/>
      <c r="BB12" s="17"/>
      <c r="BC12" s="17"/>
      <c r="BD12" s="17"/>
      <c r="BE12" s="17"/>
      <c r="BF12" s="26"/>
      <c r="BG12" s="26"/>
      <c r="BH12" s="27"/>
      <c r="BI12" s="17"/>
      <c r="BJ12" s="17"/>
      <c r="BK12" s="17"/>
      <c r="BL12" s="17"/>
      <c r="BM12" s="26"/>
      <c r="BN12" s="26"/>
      <c r="BO12" s="27"/>
      <c r="BP12" s="17"/>
      <c r="BQ12" s="17"/>
      <c r="BR12" s="17"/>
      <c r="BS12" s="17"/>
      <c r="BT12" s="26"/>
      <c r="BU12" s="26"/>
      <c r="BV12" s="27"/>
      <c r="BW12" s="17"/>
      <c r="BX12" s="17"/>
      <c r="BY12" s="17"/>
      <c r="BZ12" s="17"/>
      <c r="CA12" s="26"/>
      <c r="CB12" s="26"/>
    </row>
    <row r="13" customFormat="false" ht="15" hidden="false" customHeight="true" outlineLevel="1" collapsed="false">
      <c r="A13" s="31" t="s">
        <v>51</v>
      </c>
      <c r="B13" s="32" t="s">
        <v>52</v>
      </c>
      <c r="C13" s="17"/>
      <c r="D13" s="17"/>
      <c r="E13" s="18" t="s">
        <v>53</v>
      </c>
      <c r="F13" s="19"/>
      <c r="G13" s="20" t="s">
        <v>30</v>
      </c>
      <c r="H13" s="21" t="s">
        <v>31</v>
      </c>
      <c r="I13" s="22" t="s">
        <v>54</v>
      </c>
      <c r="J13" s="19"/>
      <c r="K13" s="15" t="s">
        <v>40</v>
      </c>
      <c r="L13" s="23" t="n">
        <f aca="false">IF(COUNT(L14,L15,L16,L17)=0,"",MIN(L14,L15,L16,L17))</f>
        <v>46324</v>
      </c>
      <c r="M13" s="24" t="n">
        <f aca="false">IF(AND(ISNUMBER(L13),ISNUMBER(O13)),O13-L13+1,"")</f>
        <v>6</v>
      </c>
      <c r="N13" s="23"/>
      <c r="O13" s="23" t="n">
        <f aca="false">IF(COUNT(O14,O15,O16,O17)=0,"",MAX(O14,O15,O16,O17))</f>
        <v>46329</v>
      </c>
      <c r="P13" s="22"/>
      <c r="Q13" s="17"/>
      <c r="R13" s="27"/>
      <c r="S13" s="17"/>
      <c r="T13" s="17"/>
      <c r="U13" s="17"/>
      <c r="V13" s="17"/>
      <c r="W13" s="26"/>
      <c r="X13" s="26"/>
      <c r="Y13" s="27"/>
      <c r="Z13" s="17"/>
      <c r="AA13" s="17"/>
      <c r="AB13" s="17"/>
      <c r="AC13" s="17"/>
      <c r="AD13" s="26"/>
      <c r="AE13" s="26"/>
      <c r="AF13" s="27"/>
      <c r="AG13" s="17"/>
      <c r="AH13" s="28"/>
      <c r="AI13" s="17"/>
      <c r="AJ13" s="17"/>
      <c r="AK13" s="26"/>
      <c r="AL13" s="26"/>
      <c r="AM13" s="27"/>
      <c r="AN13" s="17"/>
      <c r="AO13" s="17"/>
      <c r="AP13" s="17"/>
      <c r="AQ13" s="17"/>
      <c r="AR13" s="26"/>
      <c r="AS13" s="26"/>
      <c r="AT13" s="27"/>
      <c r="AU13" s="17"/>
      <c r="AV13" s="17"/>
      <c r="AW13" s="17"/>
      <c r="AX13" s="17"/>
      <c r="AY13" s="26"/>
      <c r="AZ13" s="26"/>
      <c r="BA13" s="27"/>
      <c r="BB13" s="17"/>
      <c r="BC13" s="17"/>
      <c r="BD13" s="17"/>
      <c r="BE13" s="17"/>
      <c r="BF13" s="26"/>
      <c r="BG13" s="26"/>
      <c r="BH13" s="27"/>
      <c r="BI13" s="17"/>
      <c r="BJ13" s="17"/>
      <c r="BK13" s="17"/>
      <c r="BL13" s="17"/>
      <c r="BM13" s="26"/>
      <c r="BN13" s="26"/>
      <c r="BO13" s="27"/>
      <c r="BP13" s="17"/>
      <c r="BQ13" s="17"/>
      <c r="BR13" s="17"/>
      <c r="BS13" s="17"/>
      <c r="BT13" s="26"/>
      <c r="BU13" s="26"/>
      <c r="BV13" s="27"/>
      <c r="BW13" s="17"/>
      <c r="BX13" s="17"/>
      <c r="BY13" s="17"/>
      <c r="BZ13" s="17"/>
      <c r="CA13" s="26"/>
      <c r="CB13" s="26"/>
    </row>
    <row r="14" customFormat="false" ht="15" hidden="false" customHeight="true" outlineLevel="2" collapsed="false">
      <c r="A14" s="15" t="s">
        <v>55</v>
      </c>
      <c r="B14" s="16"/>
      <c r="C14" s="33" t="s">
        <v>56</v>
      </c>
      <c r="D14" s="17"/>
      <c r="E14" s="18" t="s">
        <v>57</v>
      </c>
      <c r="F14" s="19"/>
      <c r="G14" s="20" t="s">
        <v>30</v>
      </c>
      <c r="H14" s="21" t="s">
        <v>31</v>
      </c>
      <c r="I14" s="22" t="s">
        <v>54</v>
      </c>
      <c r="J14" s="19"/>
      <c r="K14" s="15" t="s">
        <v>40</v>
      </c>
      <c r="L14" s="23" t="n">
        <v>46324</v>
      </c>
      <c r="M14" s="24" t="n">
        <v>2</v>
      </c>
      <c r="N14" s="23"/>
      <c r="O14" s="23" t="n">
        <f aca="false">IF(ISNUMBER(L14),L14+M14-1,"")</f>
        <v>46325</v>
      </c>
      <c r="P14" s="22" t="s">
        <v>41</v>
      </c>
      <c r="Q14" s="17"/>
      <c r="R14" s="27"/>
      <c r="S14" s="17"/>
      <c r="T14" s="17"/>
      <c r="U14" s="17"/>
      <c r="V14" s="17"/>
      <c r="W14" s="26"/>
      <c r="X14" s="26"/>
      <c r="Y14" s="27"/>
      <c r="Z14" s="17"/>
      <c r="AA14" s="17"/>
      <c r="AB14" s="17"/>
      <c r="AC14" s="17"/>
      <c r="AD14" s="26"/>
      <c r="AE14" s="26"/>
      <c r="AF14" s="27"/>
      <c r="AG14" s="17"/>
      <c r="AH14" s="28"/>
      <c r="AI14" s="17"/>
      <c r="AJ14" s="17"/>
      <c r="AK14" s="26"/>
      <c r="AL14" s="26"/>
      <c r="AM14" s="27"/>
      <c r="AN14" s="17"/>
      <c r="AO14" s="17"/>
      <c r="AP14" s="17"/>
      <c r="AQ14" s="17"/>
      <c r="AR14" s="26"/>
      <c r="AS14" s="26"/>
      <c r="AT14" s="27"/>
      <c r="AU14" s="17"/>
      <c r="AV14" s="17"/>
      <c r="AW14" s="17"/>
      <c r="AX14" s="17"/>
      <c r="AY14" s="26"/>
      <c r="AZ14" s="26"/>
      <c r="BA14" s="27"/>
      <c r="BB14" s="17"/>
      <c r="BC14" s="17"/>
      <c r="BD14" s="17"/>
      <c r="BE14" s="17"/>
      <c r="BF14" s="26"/>
      <c r="BG14" s="26"/>
      <c r="BH14" s="27"/>
      <c r="BI14" s="17"/>
      <c r="BJ14" s="17"/>
      <c r="BK14" s="17"/>
      <c r="BL14" s="17"/>
      <c r="BM14" s="26"/>
      <c r="BN14" s="26"/>
      <c r="BO14" s="27"/>
      <c r="BP14" s="17"/>
      <c r="BQ14" s="17"/>
      <c r="BR14" s="17"/>
      <c r="BS14" s="17"/>
      <c r="BT14" s="26"/>
      <c r="BU14" s="26"/>
      <c r="BV14" s="27"/>
      <c r="BW14" s="17"/>
      <c r="BX14" s="17"/>
      <c r="BY14" s="17"/>
      <c r="BZ14" s="17"/>
      <c r="CA14" s="26"/>
      <c r="CB14" s="26"/>
    </row>
    <row r="15" customFormat="false" ht="15" hidden="false" customHeight="true" outlineLevel="2" collapsed="false">
      <c r="A15" s="31" t="s">
        <v>58</v>
      </c>
      <c r="B15" s="16"/>
      <c r="C15" s="33" t="s">
        <v>59</v>
      </c>
      <c r="D15" s="17"/>
      <c r="E15" s="18" t="s">
        <v>60</v>
      </c>
      <c r="F15" s="19"/>
      <c r="G15" s="20" t="s">
        <v>30</v>
      </c>
      <c r="H15" s="21" t="s">
        <v>61</v>
      </c>
      <c r="I15" s="22" t="s">
        <v>54</v>
      </c>
      <c r="J15" s="19"/>
      <c r="K15" s="15" t="s">
        <v>40</v>
      </c>
      <c r="L15" s="23" t="n">
        <v>46328</v>
      </c>
      <c r="M15" s="24" t="n">
        <v>1</v>
      </c>
      <c r="N15" s="23"/>
      <c r="O15" s="23" t="n">
        <f aca="false">IF(ISNUMBER(L15),L15+M15-1,"")</f>
        <v>46328</v>
      </c>
      <c r="P15" s="22" t="s">
        <v>41</v>
      </c>
      <c r="Q15" s="17"/>
      <c r="R15" s="27"/>
      <c r="S15" s="17"/>
      <c r="T15" s="17"/>
      <c r="U15" s="17"/>
      <c r="V15" s="17"/>
      <c r="W15" s="26"/>
      <c r="X15" s="26"/>
      <c r="Y15" s="27"/>
      <c r="Z15" s="17"/>
      <c r="AA15" s="17"/>
      <c r="AB15" s="17"/>
      <c r="AC15" s="17"/>
      <c r="AD15" s="26"/>
      <c r="AE15" s="26"/>
      <c r="AF15" s="27"/>
      <c r="AG15" s="17"/>
      <c r="AH15" s="28"/>
      <c r="AI15" s="17"/>
      <c r="AJ15" s="17"/>
      <c r="AK15" s="26"/>
      <c r="AL15" s="26"/>
      <c r="AM15" s="27"/>
      <c r="AN15" s="17"/>
      <c r="AO15" s="17"/>
      <c r="AP15" s="17"/>
      <c r="AQ15" s="17"/>
      <c r="AR15" s="26"/>
      <c r="AS15" s="26"/>
      <c r="AT15" s="27"/>
      <c r="AU15" s="17"/>
      <c r="AV15" s="17"/>
      <c r="AW15" s="17"/>
      <c r="AX15" s="17"/>
      <c r="AY15" s="26"/>
      <c r="AZ15" s="26"/>
      <c r="BA15" s="27"/>
      <c r="BB15" s="17"/>
      <c r="BC15" s="17"/>
      <c r="BD15" s="17"/>
      <c r="BE15" s="17"/>
      <c r="BF15" s="26"/>
      <c r="BG15" s="26"/>
      <c r="BH15" s="27"/>
      <c r="BI15" s="17"/>
      <c r="BJ15" s="17"/>
      <c r="BK15" s="17"/>
      <c r="BL15" s="17"/>
      <c r="BM15" s="26"/>
      <c r="BN15" s="26"/>
      <c r="BO15" s="27"/>
      <c r="BP15" s="17"/>
      <c r="BQ15" s="17"/>
      <c r="BR15" s="17"/>
      <c r="BS15" s="17"/>
      <c r="BT15" s="26"/>
      <c r="BU15" s="26"/>
      <c r="BV15" s="27"/>
      <c r="BW15" s="17"/>
      <c r="BX15" s="17"/>
      <c r="BY15" s="17"/>
      <c r="BZ15" s="17"/>
      <c r="CA15" s="26"/>
      <c r="CB15" s="26"/>
    </row>
    <row r="16" customFormat="false" ht="15" hidden="false" customHeight="true" outlineLevel="2" collapsed="false">
      <c r="A16" s="31" t="s">
        <v>62</v>
      </c>
      <c r="B16" s="16"/>
      <c r="C16" s="33" t="s">
        <v>63</v>
      </c>
      <c r="D16" s="17"/>
      <c r="E16" s="18" t="s">
        <v>64</v>
      </c>
      <c r="F16" s="19"/>
      <c r="G16" s="20" t="s">
        <v>30</v>
      </c>
      <c r="H16" s="21" t="s">
        <v>61</v>
      </c>
      <c r="I16" s="22" t="s">
        <v>54</v>
      </c>
      <c r="J16" s="19"/>
      <c r="K16" s="15" t="s">
        <v>40</v>
      </c>
      <c r="L16" s="23" t="n">
        <v>46328</v>
      </c>
      <c r="M16" s="24" t="n">
        <v>1</v>
      </c>
      <c r="N16" s="23"/>
      <c r="O16" s="23" t="n">
        <f aca="false">IF(ISNUMBER(L16),L16+M16-1,"")</f>
        <v>46328</v>
      </c>
      <c r="P16" s="22" t="s">
        <v>41</v>
      </c>
      <c r="Q16" s="17"/>
      <c r="R16" s="27"/>
      <c r="S16" s="17"/>
      <c r="T16" s="17"/>
      <c r="U16" s="17"/>
      <c r="V16" s="17"/>
      <c r="W16" s="26"/>
      <c r="X16" s="26"/>
      <c r="Y16" s="27"/>
      <c r="Z16" s="17"/>
      <c r="AA16" s="17"/>
      <c r="AB16" s="17"/>
      <c r="AC16" s="17"/>
      <c r="AD16" s="26"/>
      <c r="AE16" s="26"/>
      <c r="AF16" s="27"/>
      <c r="AG16" s="17"/>
      <c r="AH16" s="28"/>
      <c r="AI16" s="17"/>
      <c r="AJ16" s="17"/>
      <c r="AK16" s="26"/>
      <c r="AL16" s="26"/>
      <c r="AM16" s="27"/>
      <c r="AN16" s="17"/>
      <c r="AO16" s="17"/>
      <c r="AP16" s="17"/>
      <c r="AQ16" s="17"/>
      <c r="AR16" s="26"/>
      <c r="AS16" s="26"/>
      <c r="AT16" s="27"/>
      <c r="AU16" s="17"/>
      <c r="AV16" s="17"/>
      <c r="AW16" s="17"/>
      <c r="AX16" s="17"/>
      <c r="AY16" s="26"/>
      <c r="AZ16" s="26"/>
      <c r="BA16" s="27"/>
      <c r="BB16" s="17"/>
      <c r="BC16" s="17"/>
      <c r="BD16" s="17"/>
      <c r="BE16" s="17"/>
      <c r="BF16" s="26"/>
      <c r="BG16" s="26"/>
      <c r="BH16" s="27"/>
      <c r="BI16" s="17"/>
      <c r="BJ16" s="17"/>
      <c r="BK16" s="17"/>
      <c r="BL16" s="17"/>
      <c r="BM16" s="26"/>
      <c r="BN16" s="26"/>
      <c r="BO16" s="27"/>
      <c r="BP16" s="17"/>
      <c r="BQ16" s="17"/>
      <c r="BR16" s="17"/>
      <c r="BS16" s="17"/>
      <c r="BT16" s="26"/>
      <c r="BU16" s="26"/>
      <c r="BV16" s="27"/>
      <c r="BW16" s="17"/>
      <c r="BX16" s="17"/>
      <c r="BY16" s="17"/>
      <c r="BZ16" s="17"/>
      <c r="CA16" s="26"/>
      <c r="CB16" s="26"/>
    </row>
    <row r="17" customFormat="false" ht="15" hidden="false" customHeight="true" outlineLevel="2" collapsed="false">
      <c r="A17" s="31" t="s">
        <v>65</v>
      </c>
      <c r="B17" s="16"/>
      <c r="C17" s="33" t="s">
        <v>66</v>
      </c>
      <c r="D17" s="17"/>
      <c r="E17" s="18" t="s">
        <v>67</v>
      </c>
      <c r="F17" s="19"/>
      <c r="G17" s="30" t="s">
        <v>68</v>
      </c>
      <c r="H17" s="21" t="s">
        <v>31</v>
      </c>
      <c r="I17" s="22" t="s">
        <v>54</v>
      </c>
      <c r="J17" s="34" t="s">
        <v>61</v>
      </c>
      <c r="K17" s="15" t="s">
        <v>40</v>
      </c>
      <c r="L17" s="23" t="n">
        <f aca="false">MAX(DATE(2026,11,3),IF(COUNT(O15,O16)=0,0,MAX(O15,O16)+1))</f>
        <v>46329</v>
      </c>
      <c r="M17" s="24" t="n">
        <v>1</v>
      </c>
      <c r="N17" s="23"/>
      <c r="O17" s="23" t="n">
        <f aca="false">IF(ISNUMBER(L17),L17+M17-1,"")</f>
        <v>46329</v>
      </c>
      <c r="P17" s="22" t="s">
        <v>41</v>
      </c>
      <c r="Q17" s="17"/>
      <c r="R17" s="27"/>
      <c r="S17" s="17"/>
      <c r="T17" s="17"/>
      <c r="U17" s="17"/>
      <c r="V17" s="17"/>
      <c r="W17" s="26"/>
      <c r="X17" s="26"/>
      <c r="Y17" s="27"/>
      <c r="Z17" s="17"/>
      <c r="AA17" s="17"/>
      <c r="AB17" s="17"/>
      <c r="AC17" s="17"/>
      <c r="AD17" s="26"/>
      <c r="AE17" s="26"/>
      <c r="AF17" s="27"/>
      <c r="AG17" s="17"/>
      <c r="AH17" s="28"/>
      <c r="AI17" s="17"/>
      <c r="AJ17" s="17"/>
      <c r="AK17" s="26"/>
      <c r="AL17" s="26"/>
      <c r="AM17" s="27"/>
      <c r="AN17" s="17"/>
      <c r="AO17" s="17"/>
      <c r="AP17" s="17"/>
      <c r="AQ17" s="17"/>
      <c r="AR17" s="26"/>
      <c r="AS17" s="26"/>
      <c r="AT17" s="27"/>
      <c r="AU17" s="17"/>
      <c r="AV17" s="17"/>
      <c r="AW17" s="17"/>
      <c r="AX17" s="17"/>
      <c r="AY17" s="26"/>
      <c r="AZ17" s="26"/>
      <c r="BA17" s="27"/>
      <c r="BB17" s="17"/>
      <c r="BC17" s="17"/>
      <c r="BD17" s="17"/>
      <c r="BE17" s="17"/>
      <c r="BF17" s="26"/>
      <c r="BG17" s="26"/>
      <c r="BH17" s="27"/>
      <c r="BI17" s="17"/>
      <c r="BJ17" s="17"/>
      <c r="BK17" s="17"/>
      <c r="BL17" s="17"/>
      <c r="BM17" s="26"/>
      <c r="BN17" s="26"/>
      <c r="BO17" s="27"/>
      <c r="BP17" s="17"/>
      <c r="BQ17" s="17"/>
      <c r="BR17" s="17"/>
      <c r="BS17" s="17"/>
      <c r="BT17" s="26"/>
      <c r="BU17" s="26"/>
      <c r="BV17" s="27"/>
      <c r="BW17" s="17"/>
      <c r="BX17" s="17"/>
      <c r="BY17" s="17"/>
      <c r="BZ17" s="17"/>
      <c r="CA17" s="26"/>
      <c r="CB17" s="26"/>
    </row>
    <row r="18" customFormat="false" ht="15" hidden="false" customHeight="true" outlineLevel="0" collapsed="false">
      <c r="A18" s="35" t="s">
        <v>69</v>
      </c>
      <c r="B18" s="36" t="s">
        <v>70</v>
      </c>
      <c r="C18" s="37"/>
      <c r="D18" s="37"/>
      <c r="E18" s="38"/>
      <c r="F18" s="38"/>
      <c r="G18" s="38"/>
      <c r="H18" s="38"/>
      <c r="I18" s="38"/>
      <c r="J18" s="38"/>
      <c r="K18" s="15" t="s">
        <v>40</v>
      </c>
      <c r="L18" s="39" t="n">
        <v>46328</v>
      </c>
      <c r="M18" s="38"/>
      <c r="N18" s="38"/>
      <c r="O18" s="39" t="n">
        <v>46328</v>
      </c>
      <c r="P18" s="40" t="s">
        <v>34</v>
      </c>
      <c r="Q18" s="17"/>
      <c r="R18" s="41" t="str">
        <f aca="false">IF(R$4=$L18,"◆","")</f>
        <v/>
      </c>
      <c r="S18" s="35" t="str">
        <f aca="false">IF(S$4=$L18,"◆","")</f>
        <v/>
      </c>
      <c r="T18" s="35" t="str">
        <f aca="false">IF(T$4=$L18,"◆","")</f>
        <v/>
      </c>
      <c r="U18" s="35" t="str">
        <f aca="false">IF(U$4=$L18,"◆","")</f>
        <v/>
      </c>
      <c r="V18" s="35" t="str">
        <f aca="false">IF(V$4=$L18,"◆","")</f>
        <v/>
      </c>
      <c r="W18" s="42" t="str">
        <f aca="false">IF(W$4=$L18,"◆","")</f>
        <v/>
      </c>
      <c r="X18" s="42" t="str">
        <f aca="false">IF(X$4=$L18,"◆","")</f>
        <v/>
      </c>
      <c r="Y18" s="41" t="str">
        <f aca="false">IF(Y$4=$L18,"◆","")</f>
        <v/>
      </c>
      <c r="Z18" s="35" t="str">
        <f aca="false">IF(Z$4=$L18,"◆","")</f>
        <v/>
      </c>
      <c r="AA18" s="35" t="str">
        <f aca="false">IF(AA$4=$L18,"◆","")</f>
        <v/>
      </c>
      <c r="AB18" s="35" t="str">
        <f aca="false">IF(AB$4=$L18,"◆","")</f>
        <v/>
      </c>
      <c r="AC18" s="35" t="str">
        <f aca="false">IF(AC$4=$L18,"◆","")</f>
        <v/>
      </c>
      <c r="AD18" s="42" t="str">
        <f aca="false">IF(AD$4=$L18,"◆","")</f>
        <v/>
      </c>
      <c r="AE18" s="42" t="str">
        <f aca="false">IF(AE$4=$L18,"◆","")</f>
        <v/>
      </c>
      <c r="AF18" s="41" t="str">
        <f aca="false">IF(AF$4=$L18,"◆","")</f>
        <v>◆</v>
      </c>
      <c r="AG18" s="35" t="str">
        <f aca="false">IF(AG$4=$L18,"◆","")</f>
        <v/>
      </c>
      <c r="AH18" s="43" t="str">
        <f aca="false">IF(AH$4=$L18,"◆","")</f>
        <v/>
      </c>
      <c r="AI18" s="35" t="str">
        <f aca="false">IF(AI$4=$L18,"◆","")</f>
        <v/>
      </c>
      <c r="AJ18" s="35" t="str">
        <f aca="false">IF(AJ$4=$L18,"◆","")</f>
        <v/>
      </c>
      <c r="AK18" s="42" t="str">
        <f aca="false">IF(AK$4=$L18,"◆","")</f>
        <v/>
      </c>
      <c r="AL18" s="42" t="str">
        <f aca="false">IF(AL$4=$L18,"◆","")</f>
        <v/>
      </c>
      <c r="AM18" s="41" t="str">
        <f aca="false">IF(AM$4=$L18,"◆","")</f>
        <v/>
      </c>
      <c r="AN18" s="35" t="str">
        <f aca="false">IF(AN$4=$L18,"◆","")</f>
        <v/>
      </c>
      <c r="AO18" s="35" t="str">
        <f aca="false">IF(AO$4=$L18,"◆","")</f>
        <v/>
      </c>
      <c r="AP18" s="35" t="str">
        <f aca="false">IF(AP$4=$L18,"◆","")</f>
        <v/>
      </c>
      <c r="AQ18" s="35" t="str">
        <f aca="false">IF(AQ$4=$L18,"◆","")</f>
        <v/>
      </c>
      <c r="AR18" s="42" t="str">
        <f aca="false">IF(AR$4=$L18,"◆","")</f>
        <v/>
      </c>
      <c r="AS18" s="42" t="str">
        <f aca="false">IF(AS$4=$L18,"◆","")</f>
        <v/>
      </c>
      <c r="AT18" s="41" t="str">
        <f aca="false">IF(AT$4=$L18,"◆","")</f>
        <v/>
      </c>
      <c r="AU18" s="35" t="str">
        <f aca="false">IF(AU$4=$L18,"◆","")</f>
        <v/>
      </c>
      <c r="AV18" s="35" t="str">
        <f aca="false">IF(AV$4=$L18,"◆","")</f>
        <v/>
      </c>
      <c r="AW18" s="35" t="str">
        <f aca="false">IF(AW$4=$L18,"◆","")</f>
        <v/>
      </c>
      <c r="AX18" s="35" t="str">
        <f aca="false">IF(AX$4=$L18,"◆","")</f>
        <v/>
      </c>
      <c r="AY18" s="42" t="str">
        <f aca="false">IF(AY$4=$L18,"◆","")</f>
        <v/>
      </c>
      <c r="AZ18" s="42" t="str">
        <f aca="false">IF(AZ$4=$L18,"◆","")</f>
        <v/>
      </c>
      <c r="BA18" s="41" t="str">
        <f aca="false">IF(BA$4=$L18,"◆","")</f>
        <v/>
      </c>
      <c r="BB18" s="35" t="str">
        <f aca="false">IF(BB$4=$L18,"◆","")</f>
        <v/>
      </c>
      <c r="BC18" s="35" t="str">
        <f aca="false">IF(BC$4=$L18,"◆","")</f>
        <v/>
      </c>
      <c r="BD18" s="35" t="str">
        <f aca="false">IF(BD$4=$L18,"◆","")</f>
        <v/>
      </c>
      <c r="BE18" s="35" t="str">
        <f aca="false">IF(BE$4=$L18,"◆","")</f>
        <v/>
      </c>
      <c r="BF18" s="42" t="str">
        <f aca="false">IF(BF$4=$L18,"◆","")</f>
        <v/>
      </c>
      <c r="BG18" s="42" t="str">
        <f aca="false">IF(BG$4=$L18,"◆","")</f>
        <v/>
      </c>
      <c r="BH18" s="41" t="str">
        <f aca="false">IF(BH$4=$L18,"◆","")</f>
        <v/>
      </c>
      <c r="BI18" s="35" t="str">
        <f aca="false">IF(BI$4=$L18,"◆","")</f>
        <v/>
      </c>
      <c r="BJ18" s="35" t="str">
        <f aca="false">IF(BJ$4=$L18,"◆","")</f>
        <v/>
      </c>
      <c r="BK18" s="35" t="str">
        <f aca="false">IF(BK$4=$L18,"◆","")</f>
        <v/>
      </c>
      <c r="BL18" s="35" t="str">
        <f aca="false">IF(BL$4=$L18,"◆","")</f>
        <v/>
      </c>
      <c r="BM18" s="42" t="str">
        <f aca="false">IF(BM$4=$L18,"◆","")</f>
        <v/>
      </c>
      <c r="BN18" s="42" t="str">
        <f aca="false">IF(BN$4=$L18,"◆","")</f>
        <v/>
      </c>
      <c r="BO18" s="41" t="str">
        <f aca="false">IF(BO$4=$L18,"◆","")</f>
        <v/>
      </c>
      <c r="BP18" s="35" t="str">
        <f aca="false">IF(BP$4=$L18,"◆","")</f>
        <v/>
      </c>
      <c r="BQ18" s="35" t="str">
        <f aca="false">IF(BQ$4=$L18,"◆","")</f>
        <v/>
      </c>
      <c r="BR18" s="35" t="str">
        <f aca="false">IF(BR$4=$L18,"◆","")</f>
        <v/>
      </c>
      <c r="BS18" s="35" t="str">
        <f aca="false">IF(BS$4=$L18,"◆","")</f>
        <v/>
      </c>
      <c r="BT18" s="42" t="str">
        <f aca="false">IF(BT$4=$L18,"◆","")</f>
        <v/>
      </c>
      <c r="BU18" s="42" t="str">
        <f aca="false">IF(BU$4=$L18,"◆","")</f>
        <v/>
      </c>
      <c r="BV18" s="41" t="str">
        <f aca="false">IF(BV$4=$L18,"◆","")</f>
        <v/>
      </c>
      <c r="BW18" s="35" t="str">
        <f aca="false">IF(BW$4=$L18,"◆","")</f>
        <v/>
      </c>
      <c r="BX18" s="35" t="str">
        <f aca="false">IF(BX$4=$L18,"◆","")</f>
        <v/>
      </c>
      <c r="BY18" s="35" t="str">
        <f aca="false">IF(BY$4=$L18,"◆","")</f>
        <v/>
      </c>
      <c r="BZ18" s="35" t="str">
        <f aca="false">IF(BZ$4=$L18,"◆","")</f>
        <v/>
      </c>
      <c r="CA18" s="42" t="str">
        <f aca="false">IF(CA$4=$L18,"◆","")</f>
        <v/>
      </c>
      <c r="CB18" s="42" t="str">
        <f aca="false">IF(CB$4=$L18,"◆","")</f>
        <v/>
      </c>
    </row>
    <row r="19" customFormat="false" ht="3.75" hidden="false" customHeight="true" outlineLevel="0" collapsed="false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</row>
    <row r="20" customFormat="false" ht="18" hidden="false" customHeight="true" outlineLevel="0" collapsed="false">
      <c r="A20" s="13" t="s">
        <v>71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</row>
    <row r="21" customFormat="false" ht="15" hidden="false" customHeight="true" outlineLevel="1" collapsed="false">
      <c r="A21" s="15" t="s">
        <v>72</v>
      </c>
      <c r="B21" s="16" t="s">
        <v>73</v>
      </c>
      <c r="C21" s="17"/>
      <c r="D21" s="17"/>
      <c r="E21" s="18" t="s">
        <v>74</v>
      </c>
      <c r="F21" s="19"/>
      <c r="G21" s="20" t="s">
        <v>30</v>
      </c>
      <c r="H21" s="21" t="s">
        <v>75</v>
      </c>
      <c r="I21" s="22" t="s">
        <v>32</v>
      </c>
      <c r="J21" s="19"/>
      <c r="K21" s="15" t="s">
        <v>76</v>
      </c>
      <c r="L21" s="23" t="n">
        <v>46316</v>
      </c>
      <c r="M21" s="24" t="n">
        <v>1</v>
      </c>
      <c r="N21" s="23"/>
      <c r="O21" s="23" t="n">
        <v>46316</v>
      </c>
      <c r="P21" s="22" t="s">
        <v>34</v>
      </c>
      <c r="Q21" s="17"/>
      <c r="R21" s="27"/>
      <c r="S21" s="17"/>
      <c r="T21" s="17"/>
      <c r="U21" s="17"/>
      <c r="V21" s="17"/>
      <c r="W21" s="26"/>
      <c r="X21" s="26"/>
      <c r="Y21" s="27"/>
      <c r="Z21" s="17"/>
      <c r="AA21" s="17"/>
      <c r="AB21" s="17"/>
      <c r="AC21" s="17"/>
      <c r="AD21" s="26"/>
      <c r="AE21" s="26"/>
      <c r="AF21" s="27"/>
      <c r="AG21" s="17"/>
      <c r="AH21" s="28"/>
      <c r="AI21" s="17"/>
      <c r="AJ21" s="17"/>
      <c r="AK21" s="26"/>
      <c r="AL21" s="26"/>
      <c r="AM21" s="27"/>
      <c r="AN21" s="17"/>
      <c r="AO21" s="17"/>
      <c r="AP21" s="17"/>
      <c r="AQ21" s="17"/>
      <c r="AR21" s="26"/>
      <c r="AS21" s="26"/>
      <c r="AT21" s="27"/>
      <c r="AU21" s="17"/>
      <c r="AV21" s="17"/>
      <c r="AW21" s="17"/>
      <c r="AX21" s="17"/>
      <c r="AY21" s="26"/>
      <c r="AZ21" s="26"/>
      <c r="BA21" s="27"/>
      <c r="BB21" s="17"/>
      <c r="BC21" s="17"/>
      <c r="BD21" s="17"/>
      <c r="BE21" s="17"/>
      <c r="BF21" s="26"/>
      <c r="BG21" s="26"/>
      <c r="BH21" s="27"/>
      <c r="BI21" s="17"/>
      <c r="BJ21" s="17"/>
      <c r="BK21" s="17"/>
      <c r="BL21" s="17"/>
      <c r="BM21" s="26"/>
      <c r="BN21" s="26"/>
      <c r="BO21" s="27"/>
      <c r="BP21" s="17"/>
      <c r="BQ21" s="17"/>
      <c r="BR21" s="17"/>
      <c r="BS21" s="17"/>
      <c r="BT21" s="26"/>
      <c r="BU21" s="26"/>
      <c r="BV21" s="27"/>
      <c r="BW21" s="17"/>
      <c r="BX21" s="17"/>
      <c r="BY21" s="17"/>
      <c r="BZ21" s="17"/>
      <c r="CA21" s="26"/>
      <c r="CB21" s="26"/>
    </row>
    <row r="22" customFormat="false" ht="15" hidden="false" customHeight="true" outlineLevel="1" collapsed="false">
      <c r="A22" s="15" t="s">
        <v>77</v>
      </c>
      <c r="B22" s="16" t="s">
        <v>78</v>
      </c>
      <c r="C22" s="17"/>
      <c r="D22" s="17"/>
      <c r="E22" s="18" t="s">
        <v>79</v>
      </c>
      <c r="F22" s="19"/>
      <c r="G22" s="20" t="s">
        <v>30</v>
      </c>
      <c r="H22" s="21" t="s">
        <v>31</v>
      </c>
      <c r="I22" s="22" t="s">
        <v>32</v>
      </c>
      <c r="J22" s="19"/>
      <c r="K22" s="15" t="s">
        <v>76</v>
      </c>
      <c r="L22" s="23" t="n">
        <v>46316</v>
      </c>
      <c r="M22" s="24" t="n">
        <v>1</v>
      </c>
      <c r="N22" s="23"/>
      <c r="O22" s="23" t="n">
        <v>46316</v>
      </c>
      <c r="P22" s="22" t="s">
        <v>34</v>
      </c>
      <c r="Q22" s="17"/>
      <c r="R22" s="27"/>
      <c r="S22" s="17"/>
      <c r="T22" s="17"/>
      <c r="U22" s="17"/>
      <c r="V22" s="17"/>
      <c r="W22" s="26"/>
      <c r="X22" s="26"/>
      <c r="Y22" s="27"/>
      <c r="Z22" s="17"/>
      <c r="AA22" s="17"/>
      <c r="AB22" s="17"/>
      <c r="AC22" s="17"/>
      <c r="AD22" s="26"/>
      <c r="AE22" s="26"/>
      <c r="AF22" s="27"/>
      <c r="AG22" s="17"/>
      <c r="AH22" s="28"/>
      <c r="AI22" s="17"/>
      <c r="AJ22" s="17"/>
      <c r="AK22" s="26"/>
      <c r="AL22" s="26"/>
      <c r="AM22" s="27"/>
      <c r="AN22" s="17"/>
      <c r="AO22" s="17"/>
      <c r="AP22" s="17"/>
      <c r="AQ22" s="17"/>
      <c r="AR22" s="26"/>
      <c r="AS22" s="26"/>
      <c r="AT22" s="27"/>
      <c r="AU22" s="17"/>
      <c r="AV22" s="17"/>
      <c r="AW22" s="17"/>
      <c r="AX22" s="17"/>
      <c r="AY22" s="26"/>
      <c r="AZ22" s="26"/>
      <c r="BA22" s="27"/>
      <c r="BB22" s="17"/>
      <c r="BC22" s="17"/>
      <c r="BD22" s="17"/>
      <c r="BE22" s="17"/>
      <c r="BF22" s="26"/>
      <c r="BG22" s="26"/>
      <c r="BH22" s="27"/>
      <c r="BI22" s="17"/>
      <c r="BJ22" s="17"/>
      <c r="BK22" s="17"/>
      <c r="BL22" s="17"/>
      <c r="BM22" s="26"/>
      <c r="BN22" s="26"/>
      <c r="BO22" s="27"/>
      <c r="BP22" s="17"/>
      <c r="BQ22" s="17"/>
      <c r="BR22" s="17"/>
      <c r="BS22" s="17"/>
      <c r="BT22" s="26"/>
      <c r="BU22" s="26"/>
      <c r="BV22" s="27"/>
      <c r="BW22" s="17"/>
      <c r="BX22" s="17"/>
      <c r="BY22" s="17"/>
      <c r="BZ22" s="17"/>
      <c r="CA22" s="26"/>
      <c r="CB22" s="26"/>
    </row>
    <row r="23" customFormat="false" ht="15" hidden="false" customHeight="true" outlineLevel="1" collapsed="false">
      <c r="A23" s="15" t="s">
        <v>80</v>
      </c>
      <c r="B23" s="16" t="s">
        <v>81</v>
      </c>
      <c r="C23" s="17"/>
      <c r="D23" s="17"/>
      <c r="E23" s="18" t="s">
        <v>82</v>
      </c>
      <c r="F23" s="19"/>
      <c r="G23" s="20" t="s">
        <v>30</v>
      </c>
      <c r="H23" s="21" t="s">
        <v>31</v>
      </c>
      <c r="I23" s="22" t="s">
        <v>32</v>
      </c>
      <c r="J23" s="19"/>
      <c r="K23" s="15" t="s">
        <v>76</v>
      </c>
      <c r="L23" s="23" t="n">
        <v>46316</v>
      </c>
      <c r="M23" s="24" t="n">
        <v>1</v>
      </c>
      <c r="N23" s="23"/>
      <c r="O23" s="23" t="n">
        <v>46316</v>
      </c>
      <c r="P23" s="22" t="s">
        <v>34</v>
      </c>
      <c r="Q23" s="17"/>
      <c r="R23" s="27"/>
      <c r="S23" s="17"/>
      <c r="T23" s="17"/>
      <c r="U23" s="17"/>
      <c r="V23" s="17"/>
      <c r="W23" s="26"/>
      <c r="X23" s="26"/>
      <c r="Y23" s="27"/>
      <c r="Z23" s="17"/>
      <c r="AA23" s="17"/>
      <c r="AB23" s="17"/>
      <c r="AC23" s="17"/>
      <c r="AD23" s="26"/>
      <c r="AE23" s="26"/>
      <c r="AF23" s="27"/>
      <c r="AG23" s="17"/>
      <c r="AH23" s="28"/>
      <c r="AI23" s="17"/>
      <c r="AJ23" s="17"/>
      <c r="AK23" s="26"/>
      <c r="AL23" s="26"/>
      <c r="AM23" s="27"/>
      <c r="AN23" s="17"/>
      <c r="AO23" s="17"/>
      <c r="AP23" s="17"/>
      <c r="AQ23" s="17"/>
      <c r="AR23" s="26"/>
      <c r="AS23" s="26"/>
      <c r="AT23" s="27"/>
      <c r="AU23" s="17"/>
      <c r="AV23" s="17"/>
      <c r="AW23" s="17"/>
      <c r="AX23" s="17"/>
      <c r="AY23" s="26"/>
      <c r="AZ23" s="26"/>
      <c r="BA23" s="27"/>
      <c r="BB23" s="17"/>
      <c r="BC23" s="17"/>
      <c r="BD23" s="17"/>
      <c r="BE23" s="17"/>
      <c r="BF23" s="26"/>
      <c r="BG23" s="26"/>
      <c r="BH23" s="27"/>
      <c r="BI23" s="17"/>
      <c r="BJ23" s="17"/>
      <c r="BK23" s="17"/>
      <c r="BL23" s="17"/>
      <c r="BM23" s="26"/>
      <c r="BN23" s="26"/>
      <c r="BO23" s="27"/>
      <c r="BP23" s="17"/>
      <c r="BQ23" s="17"/>
      <c r="BR23" s="17"/>
      <c r="BS23" s="17"/>
      <c r="BT23" s="26"/>
      <c r="BU23" s="26"/>
      <c r="BV23" s="27"/>
      <c r="BW23" s="17"/>
      <c r="BX23" s="17"/>
      <c r="BY23" s="17"/>
      <c r="BZ23" s="17"/>
      <c r="CA23" s="26"/>
      <c r="CB23" s="26"/>
    </row>
    <row r="24" customFormat="false" ht="15" hidden="false" customHeight="true" outlineLevel="1" collapsed="false">
      <c r="A24" s="15" t="s">
        <v>83</v>
      </c>
      <c r="B24" s="16" t="s">
        <v>84</v>
      </c>
      <c r="C24" s="17"/>
      <c r="D24" s="17"/>
      <c r="E24" s="18" t="s">
        <v>85</v>
      </c>
      <c r="F24" s="19"/>
      <c r="G24" s="20" t="s">
        <v>30</v>
      </c>
      <c r="H24" s="21" t="s">
        <v>31</v>
      </c>
      <c r="I24" s="22" t="s">
        <v>32</v>
      </c>
      <c r="J24" s="19"/>
      <c r="K24" s="15" t="s">
        <v>76</v>
      </c>
      <c r="L24" s="23" t="n">
        <v>46316</v>
      </c>
      <c r="M24" s="24" t="n">
        <v>1</v>
      </c>
      <c r="N24" s="23"/>
      <c r="O24" s="23" t="n">
        <v>46316</v>
      </c>
      <c r="P24" s="22" t="s">
        <v>34</v>
      </c>
      <c r="Q24" s="17"/>
      <c r="R24" s="27"/>
      <c r="S24" s="17"/>
      <c r="T24" s="17"/>
      <c r="U24" s="17"/>
      <c r="V24" s="17"/>
      <c r="W24" s="26"/>
      <c r="X24" s="26"/>
      <c r="Y24" s="27"/>
      <c r="Z24" s="17"/>
      <c r="AA24" s="17"/>
      <c r="AB24" s="17"/>
      <c r="AC24" s="17"/>
      <c r="AD24" s="26"/>
      <c r="AE24" s="26"/>
      <c r="AF24" s="27"/>
      <c r="AG24" s="17"/>
      <c r="AH24" s="28"/>
      <c r="AI24" s="17"/>
      <c r="AJ24" s="17"/>
      <c r="AK24" s="26"/>
      <c r="AL24" s="26"/>
      <c r="AM24" s="27"/>
      <c r="AN24" s="17"/>
      <c r="AO24" s="17"/>
      <c r="AP24" s="17"/>
      <c r="AQ24" s="17"/>
      <c r="AR24" s="26"/>
      <c r="AS24" s="26"/>
      <c r="AT24" s="27"/>
      <c r="AU24" s="17"/>
      <c r="AV24" s="17"/>
      <c r="AW24" s="17"/>
      <c r="AX24" s="17"/>
      <c r="AY24" s="26"/>
      <c r="AZ24" s="26"/>
      <c r="BA24" s="27"/>
      <c r="BB24" s="17"/>
      <c r="BC24" s="17"/>
      <c r="BD24" s="17"/>
      <c r="BE24" s="17"/>
      <c r="BF24" s="26"/>
      <c r="BG24" s="26"/>
      <c r="BH24" s="27"/>
      <c r="BI24" s="17"/>
      <c r="BJ24" s="17"/>
      <c r="BK24" s="17"/>
      <c r="BL24" s="17"/>
      <c r="BM24" s="26"/>
      <c r="BN24" s="26"/>
      <c r="BO24" s="27"/>
      <c r="BP24" s="17"/>
      <c r="BQ24" s="17"/>
      <c r="BR24" s="17"/>
      <c r="BS24" s="17"/>
      <c r="BT24" s="26"/>
      <c r="BU24" s="26"/>
      <c r="BV24" s="27"/>
      <c r="BW24" s="17"/>
      <c r="BX24" s="17"/>
      <c r="BY24" s="17"/>
      <c r="BZ24" s="17"/>
      <c r="CA24" s="26"/>
      <c r="CB24" s="26"/>
    </row>
    <row r="25" customFormat="false" ht="15" hidden="false" customHeight="true" outlineLevel="1" collapsed="false">
      <c r="A25" s="31" t="s">
        <v>86</v>
      </c>
      <c r="B25" s="16" t="s">
        <v>87</v>
      </c>
      <c r="C25" s="17"/>
      <c r="D25" s="17"/>
      <c r="E25" s="18" t="s">
        <v>88</v>
      </c>
      <c r="F25" s="19"/>
      <c r="G25" s="30" t="s">
        <v>83</v>
      </c>
      <c r="H25" s="21" t="s">
        <v>75</v>
      </c>
      <c r="I25" s="22" t="s">
        <v>89</v>
      </c>
      <c r="J25" s="19"/>
      <c r="K25" s="15" t="s">
        <v>76</v>
      </c>
      <c r="L25" s="23" t="n">
        <f aca="false">MAX(DATE(2026,10,21),IF(COUNT(O24)=0,0,MAX(O24)+1))</f>
        <v>46317</v>
      </c>
      <c r="M25" s="24" t="n">
        <v>4</v>
      </c>
      <c r="N25" s="23"/>
      <c r="O25" s="23" t="n">
        <v>46319</v>
      </c>
      <c r="P25" s="22" t="s">
        <v>34</v>
      </c>
      <c r="Q25" s="17"/>
      <c r="R25" s="27"/>
      <c r="S25" s="17"/>
      <c r="T25" s="17"/>
      <c r="U25" s="17"/>
      <c r="V25" s="17"/>
      <c r="W25" s="26"/>
      <c r="X25" s="26"/>
      <c r="Y25" s="27"/>
      <c r="Z25" s="17"/>
      <c r="AA25" s="17"/>
      <c r="AB25" s="17"/>
      <c r="AC25" s="17"/>
      <c r="AD25" s="26"/>
      <c r="AE25" s="26"/>
      <c r="AF25" s="27"/>
      <c r="AG25" s="17"/>
      <c r="AH25" s="28"/>
      <c r="AI25" s="17"/>
      <c r="AJ25" s="17"/>
      <c r="AK25" s="26"/>
      <c r="AL25" s="26"/>
      <c r="AM25" s="27"/>
      <c r="AN25" s="17"/>
      <c r="AO25" s="17"/>
      <c r="AP25" s="17"/>
      <c r="AQ25" s="17"/>
      <c r="AR25" s="26"/>
      <c r="AS25" s="26"/>
      <c r="AT25" s="27"/>
      <c r="AU25" s="17"/>
      <c r="AV25" s="17"/>
      <c r="AW25" s="17"/>
      <c r="AX25" s="17"/>
      <c r="AY25" s="26"/>
      <c r="AZ25" s="26"/>
      <c r="BA25" s="27"/>
      <c r="BB25" s="17"/>
      <c r="BC25" s="17"/>
      <c r="BD25" s="17"/>
      <c r="BE25" s="17"/>
      <c r="BF25" s="26"/>
      <c r="BG25" s="26"/>
      <c r="BH25" s="27"/>
      <c r="BI25" s="17"/>
      <c r="BJ25" s="17"/>
      <c r="BK25" s="17"/>
      <c r="BL25" s="17"/>
      <c r="BM25" s="26"/>
      <c r="BN25" s="26"/>
      <c r="BO25" s="27"/>
      <c r="BP25" s="17"/>
      <c r="BQ25" s="17"/>
      <c r="BR25" s="17"/>
      <c r="BS25" s="17"/>
      <c r="BT25" s="26"/>
      <c r="BU25" s="26"/>
      <c r="BV25" s="27"/>
      <c r="BW25" s="17"/>
      <c r="BX25" s="17"/>
      <c r="BY25" s="17"/>
      <c r="BZ25" s="17"/>
      <c r="CA25" s="26"/>
      <c r="CB25" s="26"/>
    </row>
    <row r="26" customFormat="false" ht="15" hidden="false" customHeight="true" outlineLevel="1" collapsed="false">
      <c r="A26" s="31" t="s">
        <v>90</v>
      </c>
      <c r="B26" s="16" t="s">
        <v>91</v>
      </c>
      <c r="C26" s="17"/>
      <c r="D26" s="17"/>
      <c r="E26" s="18" t="s">
        <v>92</v>
      </c>
      <c r="F26" s="19"/>
      <c r="G26" s="30" t="s">
        <v>83</v>
      </c>
      <c r="H26" s="21" t="s">
        <v>93</v>
      </c>
      <c r="I26" s="22" t="s">
        <v>89</v>
      </c>
      <c r="J26" s="19"/>
      <c r="K26" s="15" t="s">
        <v>76</v>
      </c>
      <c r="L26" s="23" t="n">
        <f aca="false">MAX(DATE(2026,10,21),IF(COUNT(O24)=0,0,MAX(O24)+1))</f>
        <v>46317</v>
      </c>
      <c r="M26" s="24" t="n">
        <v>4</v>
      </c>
      <c r="N26" s="23"/>
      <c r="O26" s="23" t="n">
        <v>46319</v>
      </c>
      <c r="P26" s="22" t="s">
        <v>34</v>
      </c>
      <c r="Q26" s="17"/>
      <c r="R26" s="27"/>
      <c r="S26" s="17"/>
      <c r="T26" s="17"/>
      <c r="U26" s="17"/>
      <c r="V26" s="17"/>
      <c r="W26" s="26"/>
      <c r="X26" s="26"/>
      <c r="Y26" s="27"/>
      <c r="Z26" s="17"/>
      <c r="AA26" s="17"/>
      <c r="AB26" s="17"/>
      <c r="AC26" s="17"/>
      <c r="AD26" s="26"/>
      <c r="AE26" s="26"/>
      <c r="AF26" s="27"/>
      <c r="AG26" s="17"/>
      <c r="AH26" s="28"/>
      <c r="AI26" s="17"/>
      <c r="AJ26" s="17"/>
      <c r="AK26" s="26"/>
      <c r="AL26" s="26"/>
      <c r="AM26" s="27"/>
      <c r="AN26" s="17"/>
      <c r="AO26" s="17"/>
      <c r="AP26" s="17"/>
      <c r="AQ26" s="17"/>
      <c r="AR26" s="26"/>
      <c r="AS26" s="26"/>
      <c r="AT26" s="27"/>
      <c r="AU26" s="17"/>
      <c r="AV26" s="17"/>
      <c r="AW26" s="17"/>
      <c r="AX26" s="17"/>
      <c r="AY26" s="26"/>
      <c r="AZ26" s="26"/>
      <c r="BA26" s="27"/>
      <c r="BB26" s="17"/>
      <c r="BC26" s="17"/>
      <c r="BD26" s="17"/>
      <c r="BE26" s="17"/>
      <c r="BF26" s="26"/>
      <c r="BG26" s="26"/>
      <c r="BH26" s="27"/>
      <c r="BI26" s="17"/>
      <c r="BJ26" s="17"/>
      <c r="BK26" s="17"/>
      <c r="BL26" s="17"/>
      <c r="BM26" s="26"/>
      <c r="BN26" s="26"/>
      <c r="BO26" s="27"/>
      <c r="BP26" s="17"/>
      <c r="BQ26" s="17"/>
      <c r="BR26" s="17"/>
      <c r="BS26" s="17"/>
      <c r="BT26" s="26"/>
      <c r="BU26" s="26"/>
      <c r="BV26" s="27"/>
      <c r="BW26" s="17"/>
      <c r="BX26" s="17"/>
      <c r="BY26" s="17"/>
      <c r="BZ26" s="17"/>
      <c r="CA26" s="26"/>
      <c r="CB26" s="26"/>
    </row>
    <row r="27" customFormat="false" ht="15" hidden="false" customHeight="true" outlineLevel="0" collapsed="false">
      <c r="A27" s="35" t="s">
        <v>69</v>
      </c>
      <c r="B27" s="36" t="s">
        <v>94</v>
      </c>
      <c r="C27" s="37"/>
      <c r="D27" s="37"/>
      <c r="E27" s="38"/>
      <c r="F27" s="38"/>
      <c r="G27" s="38"/>
      <c r="H27" s="38"/>
      <c r="I27" s="38"/>
      <c r="J27" s="38"/>
      <c r="K27" s="15" t="s">
        <v>76</v>
      </c>
      <c r="L27" s="39" t="n">
        <v>46319</v>
      </c>
      <c r="M27" s="38"/>
      <c r="N27" s="38"/>
      <c r="O27" s="39" t="n">
        <v>46319</v>
      </c>
      <c r="P27" s="40" t="s">
        <v>34</v>
      </c>
      <c r="Q27" s="17"/>
      <c r="R27" s="41" t="str">
        <f aca="false">IF(R$4=$L27,"◆","")</f>
        <v/>
      </c>
      <c r="S27" s="35" t="str">
        <f aca="false">IF(S$4=$L27,"◆","")</f>
        <v/>
      </c>
      <c r="T27" s="35" t="str">
        <f aca="false">IF(T$4=$L27,"◆","")</f>
        <v/>
      </c>
      <c r="U27" s="35" t="str">
        <f aca="false">IF(U$4=$L27,"◆","")</f>
        <v/>
      </c>
      <c r="V27" s="35" t="str">
        <f aca="false">IF(V$4=$L27,"◆","")</f>
        <v/>
      </c>
      <c r="W27" s="42" t="str">
        <f aca="false">IF(W$4=$L27,"◆","")</f>
        <v>◆</v>
      </c>
      <c r="X27" s="42" t="str">
        <f aca="false">IF(X$4=$L27,"◆","")</f>
        <v/>
      </c>
      <c r="Y27" s="41" t="str">
        <f aca="false">IF(Y$4=$L27,"◆","")</f>
        <v/>
      </c>
      <c r="Z27" s="35" t="str">
        <f aca="false">IF(Z$4=$L27,"◆","")</f>
        <v/>
      </c>
      <c r="AA27" s="35" t="str">
        <f aca="false">IF(AA$4=$L27,"◆","")</f>
        <v/>
      </c>
      <c r="AB27" s="35" t="str">
        <f aca="false">IF(AB$4=$L27,"◆","")</f>
        <v/>
      </c>
      <c r="AC27" s="35" t="str">
        <f aca="false">IF(AC$4=$L27,"◆","")</f>
        <v/>
      </c>
      <c r="AD27" s="42" t="str">
        <f aca="false">IF(AD$4=$L27,"◆","")</f>
        <v/>
      </c>
      <c r="AE27" s="42" t="str">
        <f aca="false">IF(AE$4=$L27,"◆","")</f>
        <v/>
      </c>
      <c r="AF27" s="41" t="str">
        <f aca="false">IF(AF$4=$L27,"◆","")</f>
        <v/>
      </c>
      <c r="AG27" s="35" t="str">
        <f aca="false">IF(AG$4=$L27,"◆","")</f>
        <v/>
      </c>
      <c r="AH27" s="43" t="str">
        <f aca="false">IF(AH$4=$L27,"◆","")</f>
        <v/>
      </c>
      <c r="AI27" s="35" t="str">
        <f aca="false">IF(AI$4=$L27,"◆","")</f>
        <v/>
      </c>
      <c r="AJ27" s="35" t="str">
        <f aca="false">IF(AJ$4=$L27,"◆","")</f>
        <v/>
      </c>
      <c r="AK27" s="42" t="str">
        <f aca="false">IF(AK$4=$L27,"◆","")</f>
        <v/>
      </c>
      <c r="AL27" s="42" t="str">
        <f aca="false">IF(AL$4=$L27,"◆","")</f>
        <v/>
      </c>
      <c r="AM27" s="41" t="str">
        <f aca="false">IF(AM$4=$L27,"◆","")</f>
        <v/>
      </c>
      <c r="AN27" s="35" t="str">
        <f aca="false">IF(AN$4=$L27,"◆","")</f>
        <v/>
      </c>
      <c r="AO27" s="35" t="str">
        <f aca="false">IF(AO$4=$L27,"◆","")</f>
        <v/>
      </c>
      <c r="AP27" s="35" t="str">
        <f aca="false">IF(AP$4=$L27,"◆","")</f>
        <v/>
      </c>
      <c r="AQ27" s="35" t="str">
        <f aca="false">IF(AQ$4=$L27,"◆","")</f>
        <v/>
      </c>
      <c r="AR27" s="42" t="str">
        <f aca="false">IF(AR$4=$L27,"◆","")</f>
        <v/>
      </c>
      <c r="AS27" s="42" t="str">
        <f aca="false">IF(AS$4=$L27,"◆","")</f>
        <v/>
      </c>
      <c r="AT27" s="41" t="str">
        <f aca="false">IF(AT$4=$L27,"◆","")</f>
        <v/>
      </c>
      <c r="AU27" s="35" t="str">
        <f aca="false">IF(AU$4=$L27,"◆","")</f>
        <v/>
      </c>
      <c r="AV27" s="35" t="str">
        <f aca="false">IF(AV$4=$L27,"◆","")</f>
        <v/>
      </c>
      <c r="AW27" s="35" t="str">
        <f aca="false">IF(AW$4=$L27,"◆","")</f>
        <v/>
      </c>
      <c r="AX27" s="35" t="str">
        <f aca="false">IF(AX$4=$L27,"◆","")</f>
        <v/>
      </c>
      <c r="AY27" s="42" t="str">
        <f aca="false">IF(AY$4=$L27,"◆","")</f>
        <v/>
      </c>
      <c r="AZ27" s="42" t="str">
        <f aca="false">IF(AZ$4=$L27,"◆","")</f>
        <v/>
      </c>
      <c r="BA27" s="41" t="str">
        <f aca="false">IF(BA$4=$L27,"◆","")</f>
        <v/>
      </c>
      <c r="BB27" s="35" t="str">
        <f aca="false">IF(BB$4=$L27,"◆","")</f>
        <v/>
      </c>
      <c r="BC27" s="35" t="str">
        <f aca="false">IF(BC$4=$L27,"◆","")</f>
        <v/>
      </c>
      <c r="BD27" s="35" t="str">
        <f aca="false">IF(BD$4=$L27,"◆","")</f>
        <v/>
      </c>
      <c r="BE27" s="35" t="str">
        <f aca="false">IF(BE$4=$L27,"◆","")</f>
        <v/>
      </c>
      <c r="BF27" s="42" t="str">
        <f aca="false">IF(BF$4=$L27,"◆","")</f>
        <v/>
      </c>
      <c r="BG27" s="42" t="str">
        <f aca="false">IF(BG$4=$L27,"◆","")</f>
        <v/>
      </c>
      <c r="BH27" s="41" t="str">
        <f aca="false">IF(BH$4=$L27,"◆","")</f>
        <v/>
      </c>
      <c r="BI27" s="35" t="str">
        <f aca="false">IF(BI$4=$L27,"◆","")</f>
        <v/>
      </c>
      <c r="BJ27" s="35" t="str">
        <f aca="false">IF(BJ$4=$L27,"◆","")</f>
        <v/>
      </c>
      <c r="BK27" s="35" t="str">
        <f aca="false">IF(BK$4=$L27,"◆","")</f>
        <v/>
      </c>
      <c r="BL27" s="35" t="str">
        <f aca="false">IF(BL$4=$L27,"◆","")</f>
        <v/>
      </c>
      <c r="BM27" s="42" t="str">
        <f aca="false">IF(BM$4=$L27,"◆","")</f>
        <v/>
      </c>
      <c r="BN27" s="42" t="str">
        <f aca="false">IF(BN$4=$L27,"◆","")</f>
        <v/>
      </c>
      <c r="BO27" s="41" t="str">
        <f aca="false">IF(BO$4=$L27,"◆","")</f>
        <v/>
      </c>
      <c r="BP27" s="35" t="str">
        <f aca="false">IF(BP$4=$L27,"◆","")</f>
        <v/>
      </c>
      <c r="BQ27" s="35" t="str">
        <f aca="false">IF(BQ$4=$L27,"◆","")</f>
        <v/>
      </c>
      <c r="BR27" s="35" t="str">
        <f aca="false">IF(BR$4=$L27,"◆","")</f>
        <v/>
      </c>
      <c r="BS27" s="35" t="str">
        <f aca="false">IF(BS$4=$L27,"◆","")</f>
        <v/>
      </c>
      <c r="BT27" s="42" t="str">
        <f aca="false">IF(BT$4=$L27,"◆","")</f>
        <v/>
      </c>
      <c r="BU27" s="42" t="str">
        <f aca="false">IF(BU$4=$L27,"◆","")</f>
        <v/>
      </c>
      <c r="BV27" s="41" t="str">
        <f aca="false">IF(BV$4=$L27,"◆","")</f>
        <v/>
      </c>
      <c r="BW27" s="35" t="str">
        <f aca="false">IF(BW$4=$L27,"◆","")</f>
        <v/>
      </c>
      <c r="BX27" s="35" t="str">
        <f aca="false">IF(BX$4=$L27,"◆","")</f>
        <v/>
      </c>
      <c r="BY27" s="35" t="str">
        <f aca="false">IF(BY$4=$L27,"◆","")</f>
        <v/>
      </c>
      <c r="BZ27" s="35" t="str">
        <f aca="false">IF(BZ$4=$L27,"◆","")</f>
        <v/>
      </c>
      <c r="CA27" s="42" t="str">
        <f aca="false">IF(CA$4=$L27,"◆","")</f>
        <v/>
      </c>
      <c r="CB27" s="42" t="str">
        <f aca="false">IF(CB$4=$L27,"◆","")</f>
        <v/>
      </c>
    </row>
    <row r="28" customFormat="false" ht="3.75" hidden="false" customHeight="true" outlineLevel="0" collapsed="false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</row>
    <row r="29" customFormat="false" ht="18" hidden="false" customHeight="true" outlineLevel="0" collapsed="false">
      <c r="A29" s="13" t="s">
        <v>95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</row>
    <row r="30" customFormat="false" ht="15" hidden="false" customHeight="true" outlineLevel="1" collapsed="false">
      <c r="A30" s="15" t="s">
        <v>96</v>
      </c>
      <c r="B30" s="16" t="s">
        <v>97</v>
      </c>
      <c r="C30" s="17"/>
      <c r="D30" s="17"/>
      <c r="E30" s="18" t="s">
        <v>98</v>
      </c>
      <c r="F30" s="19"/>
      <c r="G30" s="20" t="s">
        <v>30</v>
      </c>
      <c r="H30" s="21" t="s">
        <v>31</v>
      </c>
      <c r="I30" s="22" t="s">
        <v>54</v>
      </c>
      <c r="J30" s="19"/>
      <c r="K30" s="15" t="s">
        <v>99</v>
      </c>
      <c r="L30" s="23" t="n">
        <v>46327</v>
      </c>
      <c r="M30" s="24" t="n">
        <v>2</v>
      </c>
      <c r="N30" s="23"/>
      <c r="O30" s="23" t="n">
        <f aca="false">IF(ISNUMBER(L30),L30+M30-1,"")</f>
        <v>46328</v>
      </c>
      <c r="P30" s="22" t="s">
        <v>41</v>
      </c>
      <c r="Q30" s="17"/>
      <c r="R30" s="27"/>
      <c r="S30" s="17"/>
      <c r="T30" s="17"/>
      <c r="U30" s="17"/>
      <c r="V30" s="17"/>
      <c r="W30" s="26"/>
      <c r="X30" s="26"/>
      <c r="Y30" s="27"/>
      <c r="Z30" s="17"/>
      <c r="AA30" s="17"/>
      <c r="AB30" s="17"/>
      <c r="AC30" s="17"/>
      <c r="AD30" s="26"/>
      <c r="AE30" s="26"/>
      <c r="AF30" s="27"/>
      <c r="AG30" s="17"/>
      <c r="AH30" s="28"/>
      <c r="AI30" s="17"/>
      <c r="AJ30" s="17"/>
      <c r="AK30" s="26"/>
      <c r="AL30" s="26"/>
      <c r="AM30" s="27"/>
      <c r="AN30" s="17"/>
      <c r="AO30" s="17"/>
      <c r="AP30" s="17"/>
      <c r="AQ30" s="17"/>
      <c r="AR30" s="26"/>
      <c r="AS30" s="26"/>
      <c r="AT30" s="27"/>
      <c r="AU30" s="17"/>
      <c r="AV30" s="17"/>
      <c r="AW30" s="17"/>
      <c r="AX30" s="17"/>
      <c r="AY30" s="26"/>
      <c r="AZ30" s="26"/>
      <c r="BA30" s="27"/>
      <c r="BB30" s="17"/>
      <c r="BC30" s="17"/>
      <c r="BD30" s="17"/>
      <c r="BE30" s="17"/>
      <c r="BF30" s="26"/>
      <c r="BG30" s="26"/>
      <c r="BH30" s="27"/>
      <c r="BI30" s="17"/>
      <c r="BJ30" s="17"/>
      <c r="BK30" s="17"/>
      <c r="BL30" s="17"/>
      <c r="BM30" s="26"/>
      <c r="BN30" s="26"/>
      <c r="BO30" s="27"/>
      <c r="BP30" s="17"/>
      <c r="BQ30" s="17"/>
      <c r="BR30" s="17"/>
      <c r="BS30" s="17"/>
      <c r="BT30" s="26"/>
      <c r="BU30" s="26"/>
      <c r="BV30" s="27"/>
      <c r="BW30" s="17"/>
      <c r="BX30" s="17"/>
      <c r="BY30" s="17"/>
      <c r="BZ30" s="17"/>
      <c r="CA30" s="26"/>
      <c r="CB30" s="26"/>
    </row>
    <row r="31" customFormat="false" ht="15" hidden="false" customHeight="true" outlineLevel="1" collapsed="false">
      <c r="A31" s="15" t="s">
        <v>100</v>
      </c>
      <c r="B31" s="32" t="s">
        <v>101</v>
      </c>
      <c r="C31" s="17"/>
      <c r="D31" s="17"/>
      <c r="E31" s="18" t="s">
        <v>102</v>
      </c>
      <c r="F31" s="19"/>
      <c r="G31" s="20" t="s">
        <v>30</v>
      </c>
      <c r="H31" s="21" t="s">
        <v>31</v>
      </c>
      <c r="I31" s="22" t="s">
        <v>103</v>
      </c>
      <c r="J31" s="19"/>
      <c r="K31" s="15" t="s">
        <v>99</v>
      </c>
      <c r="L31" s="23" t="n">
        <f aca="false">IF(COUNT(L32,L33)=0,"",MIN(L32,L33))</f>
        <v>46317</v>
      </c>
      <c r="M31" s="24" t="n">
        <f aca="false">IF(AND(ISNUMBER(L31),ISNUMBER(O31)),O31-L31+1,"")</f>
        <v>7</v>
      </c>
      <c r="N31" s="23"/>
      <c r="O31" s="23" t="n">
        <f aca="false">IF(COUNT(O32,O33)=0,"",MAX(O32,O33))</f>
        <v>46323</v>
      </c>
      <c r="P31" s="22"/>
      <c r="Q31" s="17"/>
      <c r="R31" s="27"/>
      <c r="S31" s="17"/>
      <c r="T31" s="17"/>
      <c r="U31" s="17"/>
      <c r="V31" s="17"/>
      <c r="W31" s="26"/>
      <c r="X31" s="26"/>
      <c r="Y31" s="27"/>
      <c r="Z31" s="17"/>
      <c r="AA31" s="17"/>
      <c r="AB31" s="17"/>
      <c r="AC31" s="17"/>
      <c r="AD31" s="26"/>
      <c r="AE31" s="26"/>
      <c r="AF31" s="27"/>
      <c r="AG31" s="17"/>
      <c r="AH31" s="28"/>
      <c r="AI31" s="17"/>
      <c r="AJ31" s="17"/>
      <c r="AK31" s="26"/>
      <c r="AL31" s="26"/>
      <c r="AM31" s="27"/>
      <c r="AN31" s="17"/>
      <c r="AO31" s="17"/>
      <c r="AP31" s="17"/>
      <c r="AQ31" s="17"/>
      <c r="AR31" s="26"/>
      <c r="AS31" s="26"/>
      <c r="AT31" s="27"/>
      <c r="AU31" s="17"/>
      <c r="AV31" s="17"/>
      <c r="AW31" s="17"/>
      <c r="AX31" s="17"/>
      <c r="AY31" s="26"/>
      <c r="AZ31" s="26"/>
      <c r="BA31" s="27"/>
      <c r="BB31" s="17"/>
      <c r="BC31" s="17"/>
      <c r="BD31" s="17"/>
      <c r="BE31" s="17"/>
      <c r="BF31" s="26"/>
      <c r="BG31" s="26"/>
      <c r="BH31" s="27"/>
      <c r="BI31" s="17"/>
      <c r="BJ31" s="17"/>
      <c r="BK31" s="17"/>
      <c r="BL31" s="17"/>
      <c r="BM31" s="26"/>
      <c r="BN31" s="26"/>
      <c r="BO31" s="27"/>
      <c r="BP31" s="17"/>
      <c r="BQ31" s="17"/>
      <c r="BR31" s="17"/>
      <c r="BS31" s="17"/>
      <c r="BT31" s="26"/>
      <c r="BU31" s="26"/>
      <c r="BV31" s="27"/>
      <c r="BW31" s="17"/>
      <c r="BX31" s="17"/>
      <c r="BY31" s="17"/>
      <c r="BZ31" s="17"/>
      <c r="CA31" s="26"/>
      <c r="CB31" s="26"/>
    </row>
    <row r="32" customFormat="false" ht="15" hidden="false" customHeight="true" outlineLevel="2" collapsed="false">
      <c r="A32" s="15" t="s">
        <v>104</v>
      </c>
      <c r="B32" s="16"/>
      <c r="C32" s="33" t="s">
        <v>105</v>
      </c>
      <c r="D32" s="17"/>
      <c r="E32" s="18" t="s">
        <v>106</v>
      </c>
      <c r="F32" s="19"/>
      <c r="G32" s="20" t="s">
        <v>30</v>
      </c>
      <c r="H32" s="21" t="s">
        <v>31</v>
      </c>
      <c r="I32" s="22" t="s">
        <v>32</v>
      </c>
      <c r="J32" s="19"/>
      <c r="K32" s="15" t="s">
        <v>99</v>
      </c>
      <c r="L32" s="23" t="n">
        <v>46317</v>
      </c>
      <c r="M32" s="24" t="n">
        <v>1</v>
      </c>
      <c r="N32" s="23"/>
      <c r="O32" s="23" t="n">
        <f aca="false">IF(ISNUMBER(L32),L32+M32-1,"")</f>
        <v>46317</v>
      </c>
      <c r="P32" s="22" t="s">
        <v>41</v>
      </c>
      <c r="Q32" s="17"/>
      <c r="R32" s="27"/>
      <c r="S32" s="17"/>
      <c r="T32" s="17"/>
      <c r="U32" s="17"/>
      <c r="V32" s="17"/>
      <c r="W32" s="26"/>
      <c r="X32" s="26"/>
      <c r="Y32" s="27"/>
      <c r="Z32" s="17"/>
      <c r="AA32" s="17"/>
      <c r="AB32" s="17"/>
      <c r="AC32" s="17"/>
      <c r="AD32" s="26"/>
      <c r="AE32" s="26"/>
      <c r="AF32" s="27"/>
      <c r="AG32" s="17"/>
      <c r="AH32" s="28"/>
      <c r="AI32" s="17"/>
      <c r="AJ32" s="17"/>
      <c r="AK32" s="26"/>
      <c r="AL32" s="26"/>
      <c r="AM32" s="27"/>
      <c r="AN32" s="17"/>
      <c r="AO32" s="17"/>
      <c r="AP32" s="17"/>
      <c r="AQ32" s="17"/>
      <c r="AR32" s="26"/>
      <c r="AS32" s="26"/>
      <c r="AT32" s="27"/>
      <c r="AU32" s="17"/>
      <c r="AV32" s="17"/>
      <c r="AW32" s="17"/>
      <c r="AX32" s="17"/>
      <c r="AY32" s="26"/>
      <c r="AZ32" s="26"/>
      <c r="BA32" s="27"/>
      <c r="BB32" s="17"/>
      <c r="BC32" s="17"/>
      <c r="BD32" s="17"/>
      <c r="BE32" s="17"/>
      <c r="BF32" s="26"/>
      <c r="BG32" s="26"/>
      <c r="BH32" s="27"/>
      <c r="BI32" s="17"/>
      <c r="BJ32" s="17"/>
      <c r="BK32" s="17"/>
      <c r="BL32" s="17"/>
      <c r="BM32" s="26"/>
      <c r="BN32" s="26"/>
      <c r="BO32" s="27"/>
      <c r="BP32" s="17"/>
      <c r="BQ32" s="17"/>
      <c r="BR32" s="17"/>
      <c r="BS32" s="17"/>
      <c r="BT32" s="26"/>
      <c r="BU32" s="26"/>
      <c r="BV32" s="27"/>
      <c r="BW32" s="17"/>
      <c r="BX32" s="17"/>
      <c r="BY32" s="17"/>
      <c r="BZ32" s="17"/>
      <c r="CA32" s="26"/>
      <c r="CB32" s="26"/>
    </row>
    <row r="33" customFormat="false" ht="15" hidden="false" customHeight="true" outlineLevel="2" collapsed="false">
      <c r="A33" s="15" t="s">
        <v>107</v>
      </c>
      <c r="B33" s="16"/>
      <c r="C33" s="33" t="s">
        <v>108</v>
      </c>
      <c r="D33" s="17"/>
      <c r="E33" s="18" t="s">
        <v>109</v>
      </c>
      <c r="F33" s="19"/>
      <c r="G33" s="20" t="s">
        <v>30</v>
      </c>
      <c r="H33" s="21" t="s">
        <v>31</v>
      </c>
      <c r="I33" s="22" t="s">
        <v>103</v>
      </c>
      <c r="J33" s="19"/>
      <c r="K33" s="15" t="s">
        <v>99</v>
      </c>
      <c r="L33" s="23" t="n">
        <v>46323</v>
      </c>
      <c r="M33" s="24" t="n">
        <v>1</v>
      </c>
      <c r="N33" s="23"/>
      <c r="O33" s="23" t="n">
        <f aca="false">IF(ISNUMBER(L33),L33+M33-1,"")</f>
        <v>46323</v>
      </c>
      <c r="P33" s="22" t="s">
        <v>41</v>
      </c>
      <c r="Q33" s="17"/>
      <c r="R33" s="27"/>
      <c r="S33" s="17"/>
      <c r="T33" s="17"/>
      <c r="U33" s="17"/>
      <c r="V33" s="17"/>
      <c r="W33" s="26"/>
      <c r="X33" s="26"/>
      <c r="Y33" s="27"/>
      <c r="Z33" s="17"/>
      <c r="AA33" s="17"/>
      <c r="AB33" s="17"/>
      <c r="AC33" s="17"/>
      <c r="AD33" s="26"/>
      <c r="AE33" s="26"/>
      <c r="AF33" s="27"/>
      <c r="AG33" s="17"/>
      <c r="AH33" s="28"/>
      <c r="AI33" s="17"/>
      <c r="AJ33" s="17"/>
      <c r="AK33" s="26"/>
      <c r="AL33" s="26"/>
      <c r="AM33" s="27"/>
      <c r="AN33" s="17"/>
      <c r="AO33" s="17"/>
      <c r="AP33" s="17"/>
      <c r="AQ33" s="17"/>
      <c r="AR33" s="26"/>
      <c r="AS33" s="26"/>
      <c r="AT33" s="27"/>
      <c r="AU33" s="17"/>
      <c r="AV33" s="17"/>
      <c r="AW33" s="17"/>
      <c r="AX33" s="17"/>
      <c r="AY33" s="26"/>
      <c r="AZ33" s="26"/>
      <c r="BA33" s="27"/>
      <c r="BB33" s="17"/>
      <c r="BC33" s="17"/>
      <c r="BD33" s="17"/>
      <c r="BE33" s="17"/>
      <c r="BF33" s="26"/>
      <c r="BG33" s="26"/>
      <c r="BH33" s="27"/>
      <c r="BI33" s="17"/>
      <c r="BJ33" s="17"/>
      <c r="BK33" s="17"/>
      <c r="BL33" s="17"/>
      <c r="BM33" s="26"/>
      <c r="BN33" s="26"/>
      <c r="BO33" s="27"/>
      <c r="BP33" s="17"/>
      <c r="BQ33" s="17"/>
      <c r="BR33" s="17"/>
      <c r="BS33" s="17"/>
      <c r="BT33" s="26"/>
      <c r="BU33" s="26"/>
      <c r="BV33" s="27"/>
      <c r="BW33" s="17"/>
      <c r="BX33" s="17"/>
      <c r="BY33" s="17"/>
      <c r="BZ33" s="17"/>
      <c r="CA33" s="26"/>
      <c r="CB33" s="26"/>
    </row>
    <row r="34" customFormat="false" ht="15" hidden="false" customHeight="true" outlineLevel="1" collapsed="false">
      <c r="A34" s="31" t="s">
        <v>110</v>
      </c>
      <c r="B34" s="32" t="s">
        <v>111</v>
      </c>
      <c r="C34" s="17"/>
      <c r="D34" s="17"/>
      <c r="E34" s="18" t="s">
        <v>112</v>
      </c>
      <c r="F34" s="19"/>
      <c r="G34" s="20" t="s">
        <v>30</v>
      </c>
      <c r="H34" s="21" t="s">
        <v>31</v>
      </c>
      <c r="I34" s="22" t="s">
        <v>54</v>
      </c>
      <c r="J34" s="19"/>
      <c r="K34" s="15" t="s">
        <v>99</v>
      </c>
      <c r="L34" s="23" t="n">
        <f aca="false">IF(COUNT(L35,L36,L37,L38,L39,L40,L41,L42)=0,"",MIN(L35,L36,L37,L38,L39,L40,L41,L42))</f>
        <v>46316</v>
      </c>
      <c r="M34" s="24" t="n">
        <f aca="false">IF(AND(ISNUMBER(L34),ISNUMBER(O34)),O34-L34+1,"")</f>
        <v>15</v>
      </c>
      <c r="N34" s="23"/>
      <c r="O34" s="23" t="n">
        <f aca="false">IF(COUNT(O35,O36,O37,O38,O39,O40,O41,O42)=0,"",MAX(O35,O36,O37,O38,O39,O40,O41,O42))</f>
        <v>46330</v>
      </c>
      <c r="P34" s="22"/>
      <c r="Q34" s="17"/>
      <c r="R34" s="27"/>
      <c r="S34" s="17"/>
      <c r="T34" s="17"/>
      <c r="U34" s="17"/>
      <c r="V34" s="17"/>
      <c r="W34" s="26"/>
      <c r="X34" s="26"/>
      <c r="Y34" s="27"/>
      <c r="Z34" s="17"/>
      <c r="AA34" s="17"/>
      <c r="AB34" s="17"/>
      <c r="AC34" s="17"/>
      <c r="AD34" s="26"/>
      <c r="AE34" s="26"/>
      <c r="AF34" s="27"/>
      <c r="AG34" s="17"/>
      <c r="AH34" s="28"/>
      <c r="AI34" s="17"/>
      <c r="AJ34" s="17"/>
      <c r="AK34" s="26"/>
      <c r="AL34" s="26"/>
      <c r="AM34" s="27"/>
      <c r="AN34" s="17"/>
      <c r="AO34" s="17"/>
      <c r="AP34" s="17"/>
      <c r="AQ34" s="17"/>
      <c r="AR34" s="26"/>
      <c r="AS34" s="26"/>
      <c r="AT34" s="27"/>
      <c r="AU34" s="17"/>
      <c r="AV34" s="17"/>
      <c r="AW34" s="17"/>
      <c r="AX34" s="17"/>
      <c r="AY34" s="26"/>
      <c r="AZ34" s="26"/>
      <c r="BA34" s="27"/>
      <c r="BB34" s="17"/>
      <c r="BC34" s="17"/>
      <c r="BD34" s="17"/>
      <c r="BE34" s="17"/>
      <c r="BF34" s="26"/>
      <c r="BG34" s="26"/>
      <c r="BH34" s="27"/>
      <c r="BI34" s="17"/>
      <c r="BJ34" s="17"/>
      <c r="BK34" s="17"/>
      <c r="BL34" s="17"/>
      <c r="BM34" s="26"/>
      <c r="BN34" s="26"/>
      <c r="BO34" s="27"/>
      <c r="BP34" s="17"/>
      <c r="BQ34" s="17"/>
      <c r="BR34" s="17"/>
      <c r="BS34" s="17"/>
      <c r="BT34" s="26"/>
      <c r="BU34" s="26"/>
      <c r="BV34" s="27"/>
      <c r="BW34" s="17"/>
      <c r="BX34" s="17"/>
      <c r="BY34" s="17"/>
      <c r="BZ34" s="17"/>
      <c r="CA34" s="26"/>
      <c r="CB34" s="26"/>
    </row>
    <row r="35" customFormat="false" ht="15" hidden="false" customHeight="true" outlineLevel="2" collapsed="false">
      <c r="A35" s="15" t="s">
        <v>113</v>
      </c>
      <c r="B35" s="16"/>
      <c r="C35" s="33" t="s">
        <v>114</v>
      </c>
      <c r="D35" s="17"/>
      <c r="E35" s="18" t="s">
        <v>115</v>
      </c>
      <c r="F35" s="19"/>
      <c r="G35" s="20" t="s">
        <v>30</v>
      </c>
      <c r="H35" s="21" t="s">
        <v>75</v>
      </c>
      <c r="I35" s="22" t="s">
        <v>32</v>
      </c>
      <c r="J35" s="19"/>
      <c r="K35" s="15" t="s">
        <v>99</v>
      </c>
      <c r="L35" s="23" t="n">
        <v>46321</v>
      </c>
      <c r="M35" s="24" t="n">
        <v>1</v>
      </c>
      <c r="N35" s="23"/>
      <c r="O35" s="23" t="n">
        <f aca="false">IF(ISNUMBER(L35),L35+M35-1,"")</f>
        <v>46321</v>
      </c>
      <c r="P35" s="22" t="s">
        <v>41</v>
      </c>
      <c r="Q35" s="17"/>
      <c r="R35" s="27"/>
      <c r="S35" s="17"/>
      <c r="T35" s="17"/>
      <c r="U35" s="17"/>
      <c r="V35" s="17"/>
      <c r="W35" s="26"/>
      <c r="X35" s="26"/>
      <c r="Y35" s="27"/>
      <c r="Z35" s="17"/>
      <c r="AA35" s="17"/>
      <c r="AB35" s="17"/>
      <c r="AC35" s="17"/>
      <c r="AD35" s="26"/>
      <c r="AE35" s="26"/>
      <c r="AF35" s="27"/>
      <c r="AG35" s="17"/>
      <c r="AH35" s="28"/>
      <c r="AI35" s="17"/>
      <c r="AJ35" s="17"/>
      <c r="AK35" s="26"/>
      <c r="AL35" s="26"/>
      <c r="AM35" s="27"/>
      <c r="AN35" s="17"/>
      <c r="AO35" s="17"/>
      <c r="AP35" s="17"/>
      <c r="AQ35" s="17"/>
      <c r="AR35" s="26"/>
      <c r="AS35" s="26"/>
      <c r="AT35" s="27"/>
      <c r="AU35" s="17"/>
      <c r="AV35" s="17"/>
      <c r="AW35" s="17"/>
      <c r="AX35" s="17"/>
      <c r="AY35" s="26"/>
      <c r="AZ35" s="26"/>
      <c r="BA35" s="27"/>
      <c r="BB35" s="17"/>
      <c r="BC35" s="17"/>
      <c r="BD35" s="17"/>
      <c r="BE35" s="17"/>
      <c r="BF35" s="26"/>
      <c r="BG35" s="26"/>
      <c r="BH35" s="27"/>
      <c r="BI35" s="17"/>
      <c r="BJ35" s="17"/>
      <c r="BK35" s="17"/>
      <c r="BL35" s="17"/>
      <c r="BM35" s="26"/>
      <c r="BN35" s="26"/>
      <c r="BO35" s="27"/>
      <c r="BP35" s="17"/>
      <c r="BQ35" s="17"/>
      <c r="BR35" s="17"/>
      <c r="BS35" s="17"/>
      <c r="BT35" s="26"/>
      <c r="BU35" s="26"/>
      <c r="BV35" s="27"/>
      <c r="BW35" s="17"/>
      <c r="BX35" s="17"/>
      <c r="BY35" s="17"/>
      <c r="BZ35" s="17"/>
      <c r="CA35" s="26"/>
      <c r="CB35" s="26"/>
    </row>
    <row r="36" customFormat="false" ht="15" hidden="false" customHeight="true" outlineLevel="2" collapsed="false">
      <c r="A36" s="15" t="s">
        <v>116</v>
      </c>
      <c r="B36" s="16"/>
      <c r="C36" s="33" t="s">
        <v>117</v>
      </c>
      <c r="D36" s="17"/>
      <c r="E36" s="18" t="s">
        <v>118</v>
      </c>
      <c r="F36" s="19"/>
      <c r="G36" s="20" t="s">
        <v>30</v>
      </c>
      <c r="H36" s="21" t="s">
        <v>93</v>
      </c>
      <c r="I36" s="22" t="s">
        <v>32</v>
      </c>
      <c r="J36" s="19"/>
      <c r="K36" s="15" t="s">
        <v>99</v>
      </c>
      <c r="L36" s="23" t="n">
        <v>46316</v>
      </c>
      <c r="M36" s="24" t="n">
        <v>1</v>
      </c>
      <c r="N36" s="23"/>
      <c r="O36" s="23" t="n">
        <v>46316</v>
      </c>
      <c r="P36" s="22" t="s">
        <v>34</v>
      </c>
      <c r="Q36" s="17"/>
      <c r="R36" s="27"/>
      <c r="S36" s="17"/>
      <c r="T36" s="17"/>
      <c r="U36" s="17"/>
      <c r="V36" s="17"/>
      <c r="W36" s="26"/>
      <c r="X36" s="26"/>
      <c r="Y36" s="27"/>
      <c r="Z36" s="17"/>
      <c r="AA36" s="17"/>
      <c r="AB36" s="17"/>
      <c r="AC36" s="17"/>
      <c r="AD36" s="26"/>
      <c r="AE36" s="26"/>
      <c r="AF36" s="27"/>
      <c r="AG36" s="17"/>
      <c r="AH36" s="28"/>
      <c r="AI36" s="17"/>
      <c r="AJ36" s="17"/>
      <c r="AK36" s="26"/>
      <c r="AL36" s="26"/>
      <c r="AM36" s="27"/>
      <c r="AN36" s="17"/>
      <c r="AO36" s="17"/>
      <c r="AP36" s="17"/>
      <c r="AQ36" s="17"/>
      <c r="AR36" s="26"/>
      <c r="AS36" s="26"/>
      <c r="AT36" s="27"/>
      <c r="AU36" s="17"/>
      <c r="AV36" s="17"/>
      <c r="AW36" s="17"/>
      <c r="AX36" s="17"/>
      <c r="AY36" s="26"/>
      <c r="AZ36" s="26"/>
      <c r="BA36" s="27"/>
      <c r="BB36" s="17"/>
      <c r="BC36" s="17"/>
      <c r="BD36" s="17"/>
      <c r="BE36" s="17"/>
      <c r="BF36" s="26"/>
      <c r="BG36" s="26"/>
      <c r="BH36" s="27"/>
      <c r="BI36" s="17"/>
      <c r="BJ36" s="17"/>
      <c r="BK36" s="17"/>
      <c r="BL36" s="17"/>
      <c r="BM36" s="26"/>
      <c r="BN36" s="26"/>
      <c r="BO36" s="27"/>
      <c r="BP36" s="17"/>
      <c r="BQ36" s="17"/>
      <c r="BR36" s="17"/>
      <c r="BS36" s="17"/>
      <c r="BT36" s="26"/>
      <c r="BU36" s="26"/>
      <c r="BV36" s="27"/>
      <c r="BW36" s="17"/>
      <c r="BX36" s="17"/>
      <c r="BY36" s="17"/>
      <c r="BZ36" s="17"/>
      <c r="CA36" s="26"/>
      <c r="CB36" s="26"/>
    </row>
    <row r="37" customFormat="false" ht="15" hidden="false" customHeight="true" outlineLevel="2" collapsed="false">
      <c r="A37" s="15" t="s">
        <v>119</v>
      </c>
      <c r="B37" s="16"/>
      <c r="C37" s="33" t="s">
        <v>120</v>
      </c>
      <c r="D37" s="17"/>
      <c r="E37" s="18" t="s">
        <v>121</v>
      </c>
      <c r="F37" s="19"/>
      <c r="G37" s="30" t="s">
        <v>122</v>
      </c>
      <c r="H37" s="21" t="s">
        <v>31</v>
      </c>
      <c r="I37" s="22" t="s">
        <v>103</v>
      </c>
      <c r="J37" s="19"/>
      <c r="K37" s="15" t="s">
        <v>99</v>
      </c>
      <c r="L37" s="23" t="n">
        <f aca="false">MAX(DATE(2026,10,27),IF(COUNT(O35,O36)=0,0,MAX(O35,O36)+1))</f>
        <v>46322</v>
      </c>
      <c r="M37" s="24" t="n">
        <v>3</v>
      </c>
      <c r="N37" s="23"/>
      <c r="O37" s="23" t="n">
        <f aca="false">IF(ISNUMBER(L37),L37+M37-1,"")</f>
        <v>46324</v>
      </c>
      <c r="P37" s="22" t="s">
        <v>41</v>
      </c>
      <c r="Q37" s="17"/>
      <c r="R37" s="27"/>
      <c r="S37" s="17"/>
      <c r="T37" s="17"/>
      <c r="U37" s="17"/>
      <c r="V37" s="17"/>
      <c r="W37" s="26"/>
      <c r="X37" s="26"/>
      <c r="Y37" s="27"/>
      <c r="Z37" s="17"/>
      <c r="AA37" s="17"/>
      <c r="AB37" s="17"/>
      <c r="AC37" s="17"/>
      <c r="AD37" s="26"/>
      <c r="AE37" s="26"/>
      <c r="AF37" s="27"/>
      <c r="AG37" s="17"/>
      <c r="AH37" s="28"/>
      <c r="AI37" s="17"/>
      <c r="AJ37" s="17"/>
      <c r="AK37" s="26"/>
      <c r="AL37" s="26"/>
      <c r="AM37" s="27"/>
      <c r="AN37" s="17"/>
      <c r="AO37" s="17"/>
      <c r="AP37" s="17"/>
      <c r="AQ37" s="17"/>
      <c r="AR37" s="26"/>
      <c r="AS37" s="26"/>
      <c r="AT37" s="27"/>
      <c r="AU37" s="17"/>
      <c r="AV37" s="17"/>
      <c r="AW37" s="17"/>
      <c r="AX37" s="17"/>
      <c r="AY37" s="26"/>
      <c r="AZ37" s="26"/>
      <c r="BA37" s="27"/>
      <c r="BB37" s="17"/>
      <c r="BC37" s="17"/>
      <c r="BD37" s="17"/>
      <c r="BE37" s="17"/>
      <c r="BF37" s="26"/>
      <c r="BG37" s="26"/>
      <c r="BH37" s="27"/>
      <c r="BI37" s="17"/>
      <c r="BJ37" s="17"/>
      <c r="BK37" s="17"/>
      <c r="BL37" s="17"/>
      <c r="BM37" s="26"/>
      <c r="BN37" s="26"/>
      <c r="BO37" s="27"/>
      <c r="BP37" s="17"/>
      <c r="BQ37" s="17"/>
      <c r="BR37" s="17"/>
      <c r="BS37" s="17"/>
      <c r="BT37" s="26"/>
      <c r="BU37" s="26"/>
      <c r="BV37" s="27"/>
      <c r="BW37" s="17"/>
      <c r="BX37" s="17"/>
      <c r="BY37" s="17"/>
      <c r="BZ37" s="17"/>
      <c r="CA37" s="26"/>
      <c r="CB37" s="26"/>
    </row>
    <row r="38" customFormat="false" ht="15" hidden="false" customHeight="true" outlineLevel="2" collapsed="false">
      <c r="A38" s="15" t="s">
        <v>123</v>
      </c>
      <c r="B38" s="16"/>
      <c r="C38" s="33" t="s">
        <v>124</v>
      </c>
      <c r="D38" s="17"/>
      <c r="E38" s="18" t="s">
        <v>125</v>
      </c>
      <c r="F38" s="19"/>
      <c r="G38" s="30" t="s">
        <v>113</v>
      </c>
      <c r="H38" s="21" t="s">
        <v>75</v>
      </c>
      <c r="I38" s="22" t="s">
        <v>103</v>
      </c>
      <c r="J38" s="19"/>
      <c r="K38" s="15" t="s">
        <v>99</v>
      </c>
      <c r="L38" s="23" t="n">
        <f aca="false">MAX(DATE(2026,10,26),IF(COUNT(O35)=0,0,MAX(O35)+1))</f>
        <v>46322</v>
      </c>
      <c r="M38" s="24" t="n">
        <v>1</v>
      </c>
      <c r="N38" s="23"/>
      <c r="O38" s="23" t="n">
        <f aca="false">IF(ISNUMBER(L38),L38+M38-1,"")</f>
        <v>46322</v>
      </c>
      <c r="P38" s="22" t="s">
        <v>41</v>
      </c>
      <c r="Q38" s="17"/>
      <c r="R38" s="27"/>
      <c r="S38" s="17"/>
      <c r="T38" s="17"/>
      <c r="U38" s="17"/>
      <c r="V38" s="17"/>
      <c r="W38" s="26"/>
      <c r="X38" s="26"/>
      <c r="Y38" s="27"/>
      <c r="Z38" s="17"/>
      <c r="AA38" s="17"/>
      <c r="AB38" s="17"/>
      <c r="AC38" s="17"/>
      <c r="AD38" s="26"/>
      <c r="AE38" s="26"/>
      <c r="AF38" s="27"/>
      <c r="AG38" s="17"/>
      <c r="AH38" s="28"/>
      <c r="AI38" s="17"/>
      <c r="AJ38" s="17"/>
      <c r="AK38" s="26"/>
      <c r="AL38" s="26"/>
      <c r="AM38" s="27"/>
      <c r="AN38" s="17"/>
      <c r="AO38" s="17"/>
      <c r="AP38" s="17"/>
      <c r="AQ38" s="17"/>
      <c r="AR38" s="26"/>
      <c r="AS38" s="26"/>
      <c r="AT38" s="27"/>
      <c r="AU38" s="17"/>
      <c r="AV38" s="17"/>
      <c r="AW38" s="17"/>
      <c r="AX38" s="17"/>
      <c r="AY38" s="26"/>
      <c r="AZ38" s="26"/>
      <c r="BA38" s="27"/>
      <c r="BB38" s="17"/>
      <c r="BC38" s="17"/>
      <c r="BD38" s="17"/>
      <c r="BE38" s="17"/>
      <c r="BF38" s="26"/>
      <c r="BG38" s="26"/>
      <c r="BH38" s="27"/>
      <c r="BI38" s="17"/>
      <c r="BJ38" s="17"/>
      <c r="BK38" s="17"/>
      <c r="BL38" s="17"/>
      <c r="BM38" s="26"/>
      <c r="BN38" s="26"/>
      <c r="BO38" s="27"/>
      <c r="BP38" s="17"/>
      <c r="BQ38" s="17"/>
      <c r="BR38" s="17"/>
      <c r="BS38" s="17"/>
      <c r="BT38" s="26"/>
      <c r="BU38" s="26"/>
      <c r="BV38" s="27"/>
      <c r="BW38" s="17"/>
      <c r="BX38" s="17"/>
      <c r="BY38" s="17"/>
      <c r="BZ38" s="17"/>
      <c r="CA38" s="26"/>
      <c r="CB38" s="26"/>
    </row>
    <row r="39" customFormat="false" ht="15" hidden="false" customHeight="true" outlineLevel="2" collapsed="false">
      <c r="A39" s="15" t="s">
        <v>126</v>
      </c>
      <c r="B39" s="16"/>
      <c r="C39" s="33" t="s">
        <v>127</v>
      </c>
      <c r="D39" s="17"/>
      <c r="E39" s="18" t="s">
        <v>128</v>
      </c>
      <c r="F39" s="19"/>
      <c r="G39" s="30" t="s">
        <v>116</v>
      </c>
      <c r="H39" s="21" t="s">
        <v>93</v>
      </c>
      <c r="I39" s="22" t="s">
        <v>103</v>
      </c>
      <c r="J39" s="19"/>
      <c r="K39" s="15" t="s">
        <v>99</v>
      </c>
      <c r="L39" s="23" t="n">
        <f aca="false">MAX(DATE(2026,10,26),IF(COUNT(O36)=0,0,MAX(O36)+1))</f>
        <v>46321</v>
      </c>
      <c r="M39" s="24" t="n">
        <v>1</v>
      </c>
      <c r="N39" s="23"/>
      <c r="O39" s="23" t="n">
        <f aca="false">IF(ISNUMBER(L39),L39+M39-1,"")</f>
        <v>46321</v>
      </c>
      <c r="P39" s="22" t="s">
        <v>41</v>
      </c>
      <c r="Q39" s="17"/>
      <c r="R39" s="27"/>
      <c r="S39" s="17"/>
      <c r="T39" s="17"/>
      <c r="U39" s="17"/>
      <c r="V39" s="17"/>
      <c r="W39" s="26"/>
      <c r="X39" s="26"/>
      <c r="Y39" s="27"/>
      <c r="Z39" s="17"/>
      <c r="AA39" s="17"/>
      <c r="AB39" s="17"/>
      <c r="AC39" s="17"/>
      <c r="AD39" s="26"/>
      <c r="AE39" s="26"/>
      <c r="AF39" s="27"/>
      <c r="AG39" s="17"/>
      <c r="AH39" s="28"/>
      <c r="AI39" s="17"/>
      <c r="AJ39" s="17"/>
      <c r="AK39" s="26"/>
      <c r="AL39" s="26"/>
      <c r="AM39" s="27"/>
      <c r="AN39" s="17"/>
      <c r="AO39" s="17"/>
      <c r="AP39" s="17"/>
      <c r="AQ39" s="17"/>
      <c r="AR39" s="26"/>
      <c r="AS39" s="26"/>
      <c r="AT39" s="27"/>
      <c r="AU39" s="17"/>
      <c r="AV39" s="17"/>
      <c r="AW39" s="17"/>
      <c r="AX39" s="17"/>
      <c r="AY39" s="26"/>
      <c r="AZ39" s="26"/>
      <c r="BA39" s="27"/>
      <c r="BB39" s="17"/>
      <c r="BC39" s="17"/>
      <c r="BD39" s="17"/>
      <c r="BE39" s="17"/>
      <c r="BF39" s="26"/>
      <c r="BG39" s="26"/>
      <c r="BH39" s="27"/>
      <c r="BI39" s="17"/>
      <c r="BJ39" s="17"/>
      <c r="BK39" s="17"/>
      <c r="BL39" s="17"/>
      <c r="BM39" s="26"/>
      <c r="BN39" s="26"/>
      <c r="BO39" s="27"/>
      <c r="BP39" s="17"/>
      <c r="BQ39" s="17"/>
      <c r="BR39" s="17"/>
      <c r="BS39" s="17"/>
      <c r="BT39" s="26"/>
      <c r="BU39" s="26"/>
      <c r="BV39" s="27"/>
      <c r="BW39" s="17"/>
      <c r="BX39" s="17"/>
      <c r="BY39" s="17"/>
      <c r="BZ39" s="17"/>
      <c r="CA39" s="26"/>
      <c r="CB39" s="26"/>
    </row>
    <row r="40" customFormat="false" ht="15" hidden="false" customHeight="true" outlineLevel="2" collapsed="false">
      <c r="A40" s="31" t="s">
        <v>129</v>
      </c>
      <c r="B40" s="16"/>
      <c r="C40" s="33" t="s">
        <v>130</v>
      </c>
      <c r="D40" s="17"/>
      <c r="E40" s="18" t="s">
        <v>131</v>
      </c>
      <c r="F40" s="19"/>
      <c r="G40" s="30" t="s">
        <v>123</v>
      </c>
      <c r="H40" s="21" t="s">
        <v>132</v>
      </c>
      <c r="I40" s="22" t="s">
        <v>54</v>
      </c>
      <c r="J40" s="34" t="s">
        <v>75</v>
      </c>
      <c r="K40" s="15" t="s">
        <v>99</v>
      </c>
      <c r="L40" s="23" t="n">
        <f aca="false">MAX(DATE(2026,11,1),IF(COUNT(O38)=0,0,MAX(O38)+1))</f>
        <v>46327</v>
      </c>
      <c r="M40" s="24" t="n">
        <v>2</v>
      </c>
      <c r="N40" s="23"/>
      <c r="O40" s="23" t="n">
        <f aca="false">IF(ISNUMBER(L40),L40+M40-1,"")</f>
        <v>46328</v>
      </c>
      <c r="P40" s="22" t="s">
        <v>41</v>
      </c>
      <c r="Q40" s="17"/>
      <c r="R40" s="27"/>
      <c r="S40" s="17"/>
      <c r="T40" s="17"/>
      <c r="U40" s="17"/>
      <c r="V40" s="17"/>
      <c r="W40" s="26"/>
      <c r="X40" s="26"/>
      <c r="Y40" s="27"/>
      <c r="Z40" s="17"/>
      <c r="AA40" s="17"/>
      <c r="AB40" s="17"/>
      <c r="AC40" s="17"/>
      <c r="AD40" s="26"/>
      <c r="AE40" s="26"/>
      <c r="AF40" s="27"/>
      <c r="AG40" s="17"/>
      <c r="AH40" s="28"/>
      <c r="AI40" s="17"/>
      <c r="AJ40" s="17"/>
      <c r="AK40" s="26"/>
      <c r="AL40" s="26"/>
      <c r="AM40" s="27"/>
      <c r="AN40" s="17"/>
      <c r="AO40" s="17"/>
      <c r="AP40" s="17"/>
      <c r="AQ40" s="17"/>
      <c r="AR40" s="26"/>
      <c r="AS40" s="26"/>
      <c r="AT40" s="27"/>
      <c r="AU40" s="17"/>
      <c r="AV40" s="17"/>
      <c r="AW40" s="17"/>
      <c r="AX40" s="17"/>
      <c r="AY40" s="26"/>
      <c r="AZ40" s="26"/>
      <c r="BA40" s="27"/>
      <c r="BB40" s="17"/>
      <c r="BC40" s="17"/>
      <c r="BD40" s="17"/>
      <c r="BE40" s="17"/>
      <c r="BF40" s="26"/>
      <c r="BG40" s="26"/>
      <c r="BH40" s="27"/>
      <c r="BI40" s="17"/>
      <c r="BJ40" s="17"/>
      <c r="BK40" s="17"/>
      <c r="BL40" s="17"/>
      <c r="BM40" s="26"/>
      <c r="BN40" s="26"/>
      <c r="BO40" s="27"/>
      <c r="BP40" s="17"/>
      <c r="BQ40" s="17"/>
      <c r="BR40" s="17"/>
      <c r="BS40" s="17"/>
      <c r="BT40" s="26"/>
      <c r="BU40" s="26"/>
      <c r="BV40" s="27"/>
      <c r="BW40" s="17"/>
      <c r="BX40" s="17"/>
      <c r="BY40" s="17"/>
      <c r="BZ40" s="17"/>
      <c r="CA40" s="26"/>
      <c r="CB40" s="26"/>
    </row>
    <row r="41" customFormat="false" ht="15" hidden="false" customHeight="true" outlineLevel="2" collapsed="false">
      <c r="A41" s="31" t="s">
        <v>133</v>
      </c>
      <c r="B41" s="16"/>
      <c r="C41" s="33" t="s">
        <v>134</v>
      </c>
      <c r="D41" s="17"/>
      <c r="E41" s="18" t="s">
        <v>135</v>
      </c>
      <c r="F41" s="19"/>
      <c r="G41" s="30" t="s">
        <v>126</v>
      </c>
      <c r="H41" s="21" t="s">
        <v>132</v>
      </c>
      <c r="I41" s="22" t="s">
        <v>103</v>
      </c>
      <c r="J41" s="34" t="s">
        <v>93</v>
      </c>
      <c r="K41" s="15" t="s">
        <v>99</v>
      </c>
      <c r="L41" s="23" t="n">
        <f aca="false">MAX(DATE(2026,11,1),IF(COUNT(O39)=0,0,MAX(O39)+1))</f>
        <v>46327</v>
      </c>
      <c r="M41" s="24" t="n">
        <v>2</v>
      </c>
      <c r="N41" s="23"/>
      <c r="O41" s="23" t="n">
        <f aca="false">IF(ISNUMBER(L41),L41+M41-1,"")</f>
        <v>46328</v>
      </c>
      <c r="P41" s="22" t="s">
        <v>41</v>
      </c>
      <c r="Q41" s="17"/>
      <c r="R41" s="27"/>
      <c r="S41" s="17"/>
      <c r="T41" s="17"/>
      <c r="U41" s="17"/>
      <c r="V41" s="17"/>
      <c r="W41" s="26"/>
      <c r="X41" s="26"/>
      <c r="Y41" s="27"/>
      <c r="Z41" s="17"/>
      <c r="AA41" s="17"/>
      <c r="AB41" s="17"/>
      <c r="AC41" s="17"/>
      <c r="AD41" s="26"/>
      <c r="AE41" s="26"/>
      <c r="AF41" s="27"/>
      <c r="AG41" s="17"/>
      <c r="AH41" s="28"/>
      <c r="AI41" s="17"/>
      <c r="AJ41" s="17"/>
      <c r="AK41" s="26"/>
      <c r="AL41" s="26"/>
      <c r="AM41" s="27"/>
      <c r="AN41" s="17"/>
      <c r="AO41" s="17"/>
      <c r="AP41" s="17"/>
      <c r="AQ41" s="17"/>
      <c r="AR41" s="26"/>
      <c r="AS41" s="26"/>
      <c r="AT41" s="27"/>
      <c r="AU41" s="17"/>
      <c r="AV41" s="17"/>
      <c r="AW41" s="17"/>
      <c r="AX41" s="17"/>
      <c r="AY41" s="26"/>
      <c r="AZ41" s="26"/>
      <c r="BA41" s="27"/>
      <c r="BB41" s="17"/>
      <c r="BC41" s="17"/>
      <c r="BD41" s="17"/>
      <c r="BE41" s="17"/>
      <c r="BF41" s="26"/>
      <c r="BG41" s="26"/>
      <c r="BH41" s="27"/>
      <c r="BI41" s="17"/>
      <c r="BJ41" s="17"/>
      <c r="BK41" s="17"/>
      <c r="BL41" s="17"/>
      <c r="BM41" s="26"/>
      <c r="BN41" s="26"/>
      <c r="BO41" s="27"/>
      <c r="BP41" s="17"/>
      <c r="BQ41" s="17"/>
      <c r="BR41" s="17"/>
      <c r="BS41" s="17"/>
      <c r="BT41" s="26"/>
      <c r="BU41" s="26"/>
      <c r="BV41" s="27"/>
      <c r="BW41" s="17"/>
      <c r="BX41" s="17"/>
      <c r="BY41" s="17"/>
      <c r="BZ41" s="17"/>
      <c r="CA41" s="26"/>
      <c r="CB41" s="26"/>
    </row>
    <row r="42" customFormat="false" ht="15" hidden="false" customHeight="true" outlineLevel="2" collapsed="false">
      <c r="A42" s="31" t="s">
        <v>136</v>
      </c>
      <c r="B42" s="16"/>
      <c r="C42" s="33" t="s">
        <v>137</v>
      </c>
      <c r="D42" s="17"/>
      <c r="E42" s="18" t="s">
        <v>138</v>
      </c>
      <c r="F42" s="19"/>
      <c r="G42" s="30" t="s">
        <v>139</v>
      </c>
      <c r="H42" s="21" t="s">
        <v>132</v>
      </c>
      <c r="I42" s="22" t="s">
        <v>54</v>
      </c>
      <c r="J42" s="19"/>
      <c r="K42" s="15" t="s">
        <v>99</v>
      </c>
      <c r="L42" s="23" t="n">
        <f aca="false">MAX(DATE(2026,11,1),IF(COUNT(O40,O41)=0,0,MAX(O40,O41)+1))</f>
        <v>46329</v>
      </c>
      <c r="M42" s="24" t="n">
        <v>2</v>
      </c>
      <c r="N42" s="23"/>
      <c r="O42" s="23" t="n">
        <f aca="false">IF(ISNUMBER(L42),L42+M42-1,"")</f>
        <v>46330</v>
      </c>
      <c r="P42" s="22" t="s">
        <v>41</v>
      </c>
      <c r="Q42" s="17"/>
      <c r="R42" s="27"/>
      <c r="S42" s="17"/>
      <c r="T42" s="17"/>
      <c r="U42" s="17"/>
      <c r="V42" s="17"/>
      <c r="W42" s="26"/>
      <c r="X42" s="26"/>
      <c r="Y42" s="27"/>
      <c r="Z42" s="17"/>
      <c r="AA42" s="17"/>
      <c r="AB42" s="17"/>
      <c r="AC42" s="17"/>
      <c r="AD42" s="26"/>
      <c r="AE42" s="26"/>
      <c r="AF42" s="27"/>
      <c r="AG42" s="17"/>
      <c r="AH42" s="28"/>
      <c r="AI42" s="17"/>
      <c r="AJ42" s="17"/>
      <c r="AK42" s="26"/>
      <c r="AL42" s="26"/>
      <c r="AM42" s="27"/>
      <c r="AN42" s="17"/>
      <c r="AO42" s="17"/>
      <c r="AP42" s="17"/>
      <c r="AQ42" s="17"/>
      <c r="AR42" s="26"/>
      <c r="AS42" s="26"/>
      <c r="AT42" s="27"/>
      <c r="AU42" s="17"/>
      <c r="AV42" s="17"/>
      <c r="AW42" s="17"/>
      <c r="AX42" s="17"/>
      <c r="AY42" s="26"/>
      <c r="AZ42" s="26"/>
      <c r="BA42" s="27"/>
      <c r="BB42" s="17"/>
      <c r="BC42" s="17"/>
      <c r="BD42" s="17"/>
      <c r="BE42" s="17"/>
      <c r="BF42" s="26"/>
      <c r="BG42" s="26"/>
      <c r="BH42" s="27"/>
      <c r="BI42" s="17"/>
      <c r="BJ42" s="17"/>
      <c r="BK42" s="17"/>
      <c r="BL42" s="17"/>
      <c r="BM42" s="26"/>
      <c r="BN42" s="26"/>
      <c r="BO42" s="27"/>
      <c r="BP42" s="17"/>
      <c r="BQ42" s="17"/>
      <c r="BR42" s="17"/>
      <c r="BS42" s="17"/>
      <c r="BT42" s="26"/>
      <c r="BU42" s="26"/>
      <c r="BV42" s="27"/>
      <c r="BW42" s="17"/>
      <c r="BX42" s="17"/>
      <c r="BY42" s="17"/>
      <c r="BZ42" s="17"/>
      <c r="CA42" s="26"/>
      <c r="CB42" s="26"/>
    </row>
    <row r="43" customFormat="false" ht="15" hidden="false" customHeight="true" outlineLevel="1" collapsed="false">
      <c r="A43" s="15" t="s">
        <v>140</v>
      </c>
      <c r="B43" s="32" t="s">
        <v>141</v>
      </c>
      <c r="C43" s="17"/>
      <c r="D43" s="17"/>
      <c r="E43" s="18" t="s">
        <v>142</v>
      </c>
      <c r="F43" s="19"/>
      <c r="G43" s="20" t="s">
        <v>30</v>
      </c>
      <c r="H43" s="21" t="s">
        <v>31</v>
      </c>
      <c r="I43" s="22" t="s">
        <v>54</v>
      </c>
      <c r="J43" s="19"/>
      <c r="K43" s="15" t="s">
        <v>99</v>
      </c>
      <c r="L43" s="23" t="n">
        <f aca="false">IF(COUNT(L44,L45,L46,L47)=0,"",MIN(L44,L45,L46,L47))</f>
        <v>46314</v>
      </c>
      <c r="M43" s="24" t="n">
        <f aca="false">IF(AND(ISNUMBER(L43),ISNUMBER(O43)),O43-L43+1,"")</f>
        <v>15</v>
      </c>
      <c r="N43" s="23"/>
      <c r="O43" s="23" t="n">
        <f aca="false">IF(COUNT(O44,O45,O46,O47)=0,"",MAX(O44,O45,O46,O47))</f>
        <v>46328</v>
      </c>
      <c r="P43" s="22"/>
      <c r="Q43" s="17"/>
      <c r="R43" s="27"/>
      <c r="S43" s="17"/>
      <c r="T43" s="17"/>
      <c r="U43" s="17"/>
      <c r="V43" s="17"/>
      <c r="W43" s="26"/>
      <c r="X43" s="26"/>
      <c r="Y43" s="27"/>
      <c r="Z43" s="17"/>
      <c r="AA43" s="17"/>
      <c r="AB43" s="17"/>
      <c r="AC43" s="17"/>
      <c r="AD43" s="26"/>
      <c r="AE43" s="26"/>
      <c r="AF43" s="27"/>
      <c r="AG43" s="17"/>
      <c r="AH43" s="28"/>
      <c r="AI43" s="17"/>
      <c r="AJ43" s="17"/>
      <c r="AK43" s="26"/>
      <c r="AL43" s="26"/>
      <c r="AM43" s="27"/>
      <c r="AN43" s="17"/>
      <c r="AO43" s="17"/>
      <c r="AP43" s="17"/>
      <c r="AQ43" s="17"/>
      <c r="AR43" s="26"/>
      <c r="AS43" s="26"/>
      <c r="AT43" s="27"/>
      <c r="AU43" s="17"/>
      <c r="AV43" s="17"/>
      <c r="AW43" s="17"/>
      <c r="AX43" s="17"/>
      <c r="AY43" s="26"/>
      <c r="AZ43" s="26"/>
      <c r="BA43" s="27"/>
      <c r="BB43" s="17"/>
      <c r="BC43" s="17"/>
      <c r="BD43" s="17"/>
      <c r="BE43" s="17"/>
      <c r="BF43" s="26"/>
      <c r="BG43" s="26"/>
      <c r="BH43" s="27"/>
      <c r="BI43" s="17"/>
      <c r="BJ43" s="17"/>
      <c r="BK43" s="17"/>
      <c r="BL43" s="17"/>
      <c r="BM43" s="26"/>
      <c r="BN43" s="26"/>
      <c r="BO43" s="27"/>
      <c r="BP43" s="17"/>
      <c r="BQ43" s="17"/>
      <c r="BR43" s="17"/>
      <c r="BS43" s="17"/>
      <c r="BT43" s="26"/>
      <c r="BU43" s="26"/>
      <c r="BV43" s="27"/>
      <c r="BW43" s="17"/>
      <c r="BX43" s="17"/>
      <c r="BY43" s="17"/>
      <c r="BZ43" s="17"/>
      <c r="CA43" s="26"/>
      <c r="CB43" s="26"/>
    </row>
    <row r="44" customFormat="false" ht="15" hidden="false" customHeight="true" outlineLevel="2" collapsed="false">
      <c r="A44" s="15" t="s">
        <v>143</v>
      </c>
      <c r="B44" s="16"/>
      <c r="C44" s="33" t="s">
        <v>144</v>
      </c>
      <c r="D44" s="17"/>
      <c r="E44" s="18" t="s">
        <v>145</v>
      </c>
      <c r="F44" s="19"/>
      <c r="G44" s="20" t="s">
        <v>30</v>
      </c>
      <c r="H44" s="21" t="s">
        <v>146</v>
      </c>
      <c r="I44" s="22" t="s">
        <v>32</v>
      </c>
      <c r="J44" s="19"/>
      <c r="K44" s="15" t="s">
        <v>99</v>
      </c>
      <c r="L44" s="23" t="n">
        <v>46314</v>
      </c>
      <c r="M44" s="24" t="n">
        <v>3</v>
      </c>
      <c r="N44" s="23"/>
      <c r="O44" s="23" t="n">
        <f aca="false">IF(ISNUMBER(L44),L44+M44-1,"")</f>
        <v>46316</v>
      </c>
      <c r="P44" s="22" t="s">
        <v>41</v>
      </c>
      <c r="Q44" s="17"/>
      <c r="R44" s="27"/>
      <c r="S44" s="17"/>
      <c r="T44" s="17"/>
      <c r="U44" s="17"/>
      <c r="V44" s="17"/>
      <c r="W44" s="26"/>
      <c r="X44" s="26"/>
      <c r="Y44" s="27"/>
      <c r="Z44" s="17"/>
      <c r="AA44" s="17"/>
      <c r="AB44" s="17"/>
      <c r="AC44" s="17"/>
      <c r="AD44" s="26"/>
      <c r="AE44" s="26"/>
      <c r="AF44" s="27"/>
      <c r="AG44" s="17"/>
      <c r="AH44" s="28"/>
      <c r="AI44" s="17"/>
      <c r="AJ44" s="17"/>
      <c r="AK44" s="26"/>
      <c r="AL44" s="26"/>
      <c r="AM44" s="27"/>
      <c r="AN44" s="17"/>
      <c r="AO44" s="17"/>
      <c r="AP44" s="17"/>
      <c r="AQ44" s="17"/>
      <c r="AR44" s="26"/>
      <c r="AS44" s="26"/>
      <c r="AT44" s="27"/>
      <c r="AU44" s="17"/>
      <c r="AV44" s="17"/>
      <c r="AW44" s="17"/>
      <c r="AX44" s="17"/>
      <c r="AY44" s="26"/>
      <c r="AZ44" s="26"/>
      <c r="BA44" s="27"/>
      <c r="BB44" s="17"/>
      <c r="BC44" s="17"/>
      <c r="BD44" s="17"/>
      <c r="BE44" s="17"/>
      <c r="BF44" s="26"/>
      <c r="BG44" s="26"/>
      <c r="BH44" s="27"/>
      <c r="BI44" s="17"/>
      <c r="BJ44" s="17"/>
      <c r="BK44" s="17"/>
      <c r="BL44" s="17"/>
      <c r="BM44" s="26"/>
      <c r="BN44" s="26"/>
      <c r="BO44" s="27"/>
      <c r="BP44" s="17"/>
      <c r="BQ44" s="17"/>
      <c r="BR44" s="17"/>
      <c r="BS44" s="17"/>
      <c r="BT44" s="26"/>
      <c r="BU44" s="26"/>
      <c r="BV44" s="27"/>
      <c r="BW44" s="17"/>
      <c r="BX44" s="17"/>
      <c r="BY44" s="17"/>
      <c r="BZ44" s="17"/>
      <c r="CA44" s="26"/>
      <c r="CB44" s="26"/>
    </row>
    <row r="45" customFormat="false" ht="15" hidden="false" customHeight="true" outlineLevel="2" collapsed="false">
      <c r="A45" s="15" t="s">
        <v>147</v>
      </c>
      <c r="B45" s="16"/>
      <c r="C45" s="33" t="s">
        <v>148</v>
      </c>
      <c r="D45" s="17"/>
      <c r="E45" s="18" t="s">
        <v>149</v>
      </c>
      <c r="F45" s="19"/>
      <c r="G45" s="30" t="s">
        <v>143</v>
      </c>
      <c r="H45" s="21" t="s">
        <v>75</v>
      </c>
      <c r="I45" s="22" t="s">
        <v>89</v>
      </c>
      <c r="J45" s="19"/>
      <c r="K45" s="15" t="s">
        <v>99</v>
      </c>
      <c r="L45" s="23" t="n">
        <f aca="false">MAX(DATE(2026,10,21),IF(COUNT(O44)=0,0,MAX(O44)+1))</f>
        <v>46317</v>
      </c>
      <c r="M45" s="24" t="n">
        <v>4</v>
      </c>
      <c r="N45" s="23"/>
      <c r="O45" s="23" t="n">
        <v>46319</v>
      </c>
      <c r="P45" s="22" t="s">
        <v>34</v>
      </c>
      <c r="Q45" s="17"/>
      <c r="R45" s="25" t="s">
        <v>150</v>
      </c>
      <c r="S45" s="17"/>
      <c r="T45" s="17"/>
      <c r="U45" s="17"/>
      <c r="V45" s="17"/>
      <c r="W45" s="26"/>
      <c r="X45" s="26"/>
      <c r="Y45" s="27"/>
      <c r="Z45" s="17"/>
      <c r="AA45" s="17"/>
      <c r="AB45" s="17"/>
      <c r="AC45" s="17"/>
      <c r="AD45" s="26"/>
      <c r="AE45" s="26"/>
      <c r="AF45" s="27"/>
      <c r="AG45" s="17"/>
      <c r="AH45" s="28"/>
      <c r="AI45" s="17"/>
      <c r="AJ45" s="17"/>
      <c r="AK45" s="26"/>
      <c r="AL45" s="26"/>
      <c r="AM45" s="27"/>
      <c r="AN45" s="17"/>
      <c r="AO45" s="17"/>
      <c r="AP45" s="17"/>
      <c r="AQ45" s="17"/>
      <c r="AR45" s="26"/>
      <c r="AS45" s="26"/>
      <c r="AT45" s="27"/>
      <c r="AU45" s="17"/>
      <c r="AV45" s="17"/>
      <c r="AW45" s="17"/>
      <c r="AX45" s="17"/>
      <c r="AY45" s="26"/>
      <c r="AZ45" s="26"/>
      <c r="BA45" s="27"/>
      <c r="BB45" s="17"/>
      <c r="BC45" s="17"/>
      <c r="BD45" s="17"/>
      <c r="BE45" s="17"/>
      <c r="BF45" s="26"/>
      <c r="BG45" s="26"/>
      <c r="BH45" s="27"/>
      <c r="BI45" s="17"/>
      <c r="BJ45" s="17"/>
      <c r="BK45" s="17"/>
      <c r="BL45" s="17"/>
      <c r="BM45" s="26"/>
      <c r="BN45" s="26"/>
      <c r="BO45" s="27"/>
      <c r="BP45" s="17"/>
      <c r="BQ45" s="17"/>
      <c r="BR45" s="17"/>
      <c r="BS45" s="17"/>
      <c r="BT45" s="26"/>
      <c r="BU45" s="26"/>
      <c r="BV45" s="27"/>
      <c r="BW45" s="17"/>
      <c r="BX45" s="17"/>
      <c r="BY45" s="17"/>
      <c r="BZ45" s="17"/>
      <c r="CA45" s="26"/>
      <c r="CB45" s="26"/>
    </row>
    <row r="46" customFormat="false" ht="15" hidden="false" customHeight="true" outlineLevel="2" collapsed="false">
      <c r="A46" s="15" t="s">
        <v>151</v>
      </c>
      <c r="B46" s="16"/>
      <c r="C46" s="33" t="s">
        <v>152</v>
      </c>
      <c r="D46" s="17"/>
      <c r="E46" s="18" t="s">
        <v>153</v>
      </c>
      <c r="F46" s="19"/>
      <c r="G46" s="30" t="s">
        <v>147</v>
      </c>
      <c r="H46" s="21" t="s">
        <v>31</v>
      </c>
      <c r="I46" s="22" t="s">
        <v>54</v>
      </c>
      <c r="J46" s="34" t="s">
        <v>75</v>
      </c>
      <c r="K46" s="15" t="s">
        <v>99</v>
      </c>
      <c r="L46" s="23" t="n">
        <f aca="false">MAX(DATE(2026,11,1),IF(COUNT(O45)=0,0,MAX(O45)+1))</f>
        <v>46327</v>
      </c>
      <c r="M46" s="24" t="n">
        <v>2</v>
      </c>
      <c r="N46" s="23"/>
      <c r="O46" s="23" t="n">
        <f aca="false">IF(ISNUMBER(L46),L46+M46-1,"")</f>
        <v>46328</v>
      </c>
      <c r="P46" s="22" t="s">
        <v>41</v>
      </c>
      <c r="Q46" s="17"/>
      <c r="R46" s="27"/>
      <c r="S46" s="17"/>
      <c r="T46" s="17"/>
      <c r="U46" s="17"/>
      <c r="V46" s="17"/>
      <c r="W46" s="26"/>
      <c r="X46" s="26"/>
      <c r="Y46" s="27"/>
      <c r="Z46" s="17"/>
      <c r="AA46" s="17"/>
      <c r="AB46" s="17"/>
      <c r="AC46" s="17"/>
      <c r="AD46" s="26"/>
      <c r="AE46" s="26"/>
      <c r="AF46" s="27"/>
      <c r="AG46" s="17"/>
      <c r="AH46" s="28"/>
      <c r="AI46" s="17"/>
      <c r="AJ46" s="17"/>
      <c r="AK46" s="26"/>
      <c r="AL46" s="26"/>
      <c r="AM46" s="27"/>
      <c r="AN46" s="17"/>
      <c r="AO46" s="17"/>
      <c r="AP46" s="17"/>
      <c r="AQ46" s="17"/>
      <c r="AR46" s="26"/>
      <c r="AS46" s="26"/>
      <c r="AT46" s="27"/>
      <c r="AU46" s="17"/>
      <c r="AV46" s="17"/>
      <c r="AW46" s="17"/>
      <c r="AX46" s="17"/>
      <c r="AY46" s="26"/>
      <c r="AZ46" s="26"/>
      <c r="BA46" s="27"/>
      <c r="BB46" s="17"/>
      <c r="BC46" s="17"/>
      <c r="BD46" s="17"/>
      <c r="BE46" s="17"/>
      <c r="BF46" s="26"/>
      <c r="BG46" s="26"/>
      <c r="BH46" s="27"/>
      <c r="BI46" s="17"/>
      <c r="BJ46" s="17"/>
      <c r="BK46" s="17"/>
      <c r="BL46" s="17"/>
      <c r="BM46" s="26"/>
      <c r="BN46" s="26"/>
      <c r="BO46" s="27"/>
      <c r="BP46" s="17"/>
      <c r="BQ46" s="17"/>
      <c r="BR46" s="17"/>
      <c r="BS46" s="17"/>
      <c r="BT46" s="26"/>
      <c r="BU46" s="26"/>
      <c r="BV46" s="27"/>
      <c r="BW46" s="17"/>
      <c r="BX46" s="17"/>
      <c r="BY46" s="17"/>
      <c r="BZ46" s="17"/>
      <c r="CA46" s="26"/>
      <c r="CB46" s="26"/>
    </row>
    <row r="47" customFormat="false" ht="15" hidden="false" customHeight="true" outlineLevel="2" collapsed="false">
      <c r="A47" s="15" t="s">
        <v>154</v>
      </c>
      <c r="B47" s="16"/>
      <c r="C47" s="33" t="s">
        <v>155</v>
      </c>
      <c r="D47" s="17"/>
      <c r="E47" s="18" t="s">
        <v>156</v>
      </c>
      <c r="F47" s="19"/>
      <c r="G47" s="30" t="s">
        <v>147</v>
      </c>
      <c r="H47" s="21" t="s">
        <v>31</v>
      </c>
      <c r="I47" s="22" t="s">
        <v>54</v>
      </c>
      <c r="J47" s="34" t="s">
        <v>75</v>
      </c>
      <c r="K47" s="15" t="s">
        <v>99</v>
      </c>
      <c r="L47" s="23" t="n">
        <f aca="false">MAX(DATE(2026,11,1),IF(COUNT(O45)=0,0,MAX(O45)+1))</f>
        <v>46327</v>
      </c>
      <c r="M47" s="24" t="n">
        <v>2</v>
      </c>
      <c r="N47" s="23"/>
      <c r="O47" s="23" t="n">
        <f aca="false">IF(ISNUMBER(L47),L47+M47-1,"")</f>
        <v>46328</v>
      </c>
      <c r="P47" s="22" t="s">
        <v>41</v>
      </c>
      <c r="Q47" s="17"/>
      <c r="R47" s="27"/>
      <c r="S47" s="17"/>
      <c r="T47" s="17"/>
      <c r="U47" s="17"/>
      <c r="V47" s="17"/>
      <c r="W47" s="26"/>
      <c r="X47" s="26"/>
      <c r="Y47" s="27"/>
      <c r="Z47" s="17"/>
      <c r="AA47" s="17"/>
      <c r="AB47" s="17"/>
      <c r="AC47" s="17"/>
      <c r="AD47" s="26"/>
      <c r="AE47" s="26"/>
      <c r="AF47" s="27"/>
      <c r="AG47" s="17"/>
      <c r="AH47" s="28"/>
      <c r="AI47" s="17"/>
      <c r="AJ47" s="17"/>
      <c r="AK47" s="26"/>
      <c r="AL47" s="26"/>
      <c r="AM47" s="27"/>
      <c r="AN47" s="17"/>
      <c r="AO47" s="17"/>
      <c r="AP47" s="17"/>
      <c r="AQ47" s="17"/>
      <c r="AR47" s="26"/>
      <c r="AS47" s="26"/>
      <c r="AT47" s="27"/>
      <c r="AU47" s="17"/>
      <c r="AV47" s="17"/>
      <c r="AW47" s="17"/>
      <c r="AX47" s="17"/>
      <c r="AY47" s="26"/>
      <c r="AZ47" s="26"/>
      <c r="BA47" s="27"/>
      <c r="BB47" s="17"/>
      <c r="BC47" s="17"/>
      <c r="BD47" s="17"/>
      <c r="BE47" s="17"/>
      <c r="BF47" s="26"/>
      <c r="BG47" s="26"/>
      <c r="BH47" s="27"/>
      <c r="BI47" s="17"/>
      <c r="BJ47" s="17"/>
      <c r="BK47" s="17"/>
      <c r="BL47" s="17"/>
      <c r="BM47" s="26"/>
      <c r="BN47" s="26"/>
      <c r="BO47" s="27"/>
      <c r="BP47" s="17"/>
      <c r="BQ47" s="17"/>
      <c r="BR47" s="17"/>
      <c r="BS47" s="17"/>
      <c r="BT47" s="26"/>
      <c r="BU47" s="26"/>
      <c r="BV47" s="27"/>
      <c r="BW47" s="17"/>
      <c r="BX47" s="17"/>
      <c r="BY47" s="17"/>
      <c r="BZ47" s="17"/>
      <c r="CA47" s="26"/>
      <c r="CB47" s="26"/>
    </row>
    <row r="48" customFormat="false" ht="15" hidden="false" customHeight="true" outlineLevel="1" collapsed="false">
      <c r="A48" s="15" t="s">
        <v>157</v>
      </c>
      <c r="B48" s="32" t="s">
        <v>158</v>
      </c>
      <c r="C48" s="17"/>
      <c r="D48" s="17"/>
      <c r="E48" s="18" t="s">
        <v>159</v>
      </c>
      <c r="F48" s="19"/>
      <c r="G48" s="20" t="s">
        <v>30</v>
      </c>
      <c r="H48" s="21" t="s">
        <v>31</v>
      </c>
      <c r="I48" s="22" t="s">
        <v>32</v>
      </c>
      <c r="J48" s="19"/>
      <c r="K48" s="15" t="s">
        <v>99</v>
      </c>
      <c r="L48" s="23" t="n">
        <f aca="false">IF(COUNT(L49,L50,L51,L52)=0,"",MIN(L49,L50,L51,L52))</f>
        <v>46314</v>
      </c>
      <c r="M48" s="24" t="n">
        <f aca="false">IF(AND(ISNUMBER(L48),ISNUMBER(O48)),O48-L48+1,"")</f>
        <v>6</v>
      </c>
      <c r="N48" s="23"/>
      <c r="O48" s="23" t="n">
        <f aca="false">IF(COUNT(O49,O50,O51,O52)=0,"",MAX(O49,O50,O51,O52))</f>
        <v>46319</v>
      </c>
      <c r="P48" s="22"/>
      <c r="Q48" s="17"/>
      <c r="R48" s="27"/>
      <c r="S48" s="17"/>
      <c r="T48" s="17"/>
      <c r="U48" s="17"/>
      <c r="V48" s="17"/>
      <c r="W48" s="26"/>
      <c r="X48" s="26"/>
      <c r="Y48" s="27"/>
      <c r="Z48" s="17"/>
      <c r="AA48" s="17"/>
      <c r="AB48" s="17"/>
      <c r="AC48" s="17"/>
      <c r="AD48" s="26"/>
      <c r="AE48" s="26"/>
      <c r="AF48" s="27"/>
      <c r="AG48" s="17"/>
      <c r="AH48" s="28"/>
      <c r="AI48" s="17"/>
      <c r="AJ48" s="17"/>
      <c r="AK48" s="26"/>
      <c r="AL48" s="26"/>
      <c r="AM48" s="27"/>
      <c r="AN48" s="17"/>
      <c r="AO48" s="17"/>
      <c r="AP48" s="17"/>
      <c r="AQ48" s="17"/>
      <c r="AR48" s="26"/>
      <c r="AS48" s="26"/>
      <c r="AT48" s="27"/>
      <c r="AU48" s="17"/>
      <c r="AV48" s="17"/>
      <c r="AW48" s="17"/>
      <c r="AX48" s="17"/>
      <c r="AY48" s="26"/>
      <c r="AZ48" s="26"/>
      <c r="BA48" s="27"/>
      <c r="BB48" s="17"/>
      <c r="BC48" s="17"/>
      <c r="BD48" s="17"/>
      <c r="BE48" s="17"/>
      <c r="BF48" s="26"/>
      <c r="BG48" s="26"/>
      <c r="BH48" s="27"/>
      <c r="BI48" s="17"/>
      <c r="BJ48" s="17"/>
      <c r="BK48" s="17"/>
      <c r="BL48" s="17"/>
      <c r="BM48" s="26"/>
      <c r="BN48" s="26"/>
      <c r="BO48" s="27"/>
      <c r="BP48" s="17"/>
      <c r="BQ48" s="17"/>
      <c r="BR48" s="17"/>
      <c r="BS48" s="17"/>
      <c r="BT48" s="26"/>
      <c r="BU48" s="26"/>
      <c r="BV48" s="27"/>
      <c r="BW48" s="17"/>
      <c r="BX48" s="17"/>
      <c r="BY48" s="17"/>
      <c r="BZ48" s="17"/>
      <c r="CA48" s="26"/>
      <c r="CB48" s="26"/>
    </row>
    <row r="49" customFormat="false" ht="15" hidden="false" customHeight="true" outlineLevel="2" collapsed="false">
      <c r="A49" s="15" t="s">
        <v>160</v>
      </c>
      <c r="B49" s="16"/>
      <c r="C49" s="33" t="s">
        <v>161</v>
      </c>
      <c r="D49" s="17"/>
      <c r="E49" s="18" t="s">
        <v>162</v>
      </c>
      <c r="F49" s="19"/>
      <c r="G49" s="20" t="s">
        <v>30</v>
      </c>
      <c r="H49" s="21" t="s">
        <v>146</v>
      </c>
      <c r="I49" s="22" t="s">
        <v>32</v>
      </c>
      <c r="J49" s="19"/>
      <c r="K49" s="15" t="s">
        <v>99</v>
      </c>
      <c r="L49" s="23" t="n">
        <v>46314</v>
      </c>
      <c r="M49" s="24" t="n">
        <v>3</v>
      </c>
      <c r="N49" s="23"/>
      <c r="O49" s="23" t="n">
        <f aca="false">IF(ISNUMBER(L49),L49+M49-1,"")</f>
        <v>46316</v>
      </c>
      <c r="P49" s="22" t="s">
        <v>41</v>
      </c>
      <c r="Q49" s="17"/>
      <c r="R49" s="27"/>
      <c r="S49" s="17"/>
      <c r="T49" s="17"/>
      <c r="U49" s="17"/>
      <c r="V49" s="17"/>
      <c r="W49" s="26"/>
      <c r="X49" s="26"/>
      <c r="Y49" s="27"/>
      <c r="Z49" s="17"/>
      <c r="AA49" s="17"/>
      <c r="AB49" s="17"/>
      <c r="AC49" s="17"/>
      <c r="AD49" s="26"/>
      <c r="AE49" s="26"/>
      <c r="AF49" s="27"/>
      <c r="AG49" s="17"/>
      <c r="AH49" s="28"/>
      <c r="AI49" s="17"/>
      <c r="AJ49" s="17"/>
      <c r="AK49" s="26"/>
      <c r="AL49" s="26"/>
      <c r="AM49" s="27"/>
      <c r="AN49" s="17"/>
      <c r="AO49" s="17"/>
      <c r="AP49" s="17"/>
      <c r="AQ49" s="17"/>
      <c r="AR49" s="26"/>
      <c r="AS49" s="26"/>
      <c r="AT49" s="27"/>
      <c r="AU49" s="17"/>
      <c r="AV49" s="17"/>
      <c r="AW49" s="17"/>
      <c r="AX49" s="17"/>
      <c r="AY49" s="26"/>
      <c r="AZ49" s="26"/>
      <c r="BA49" s="27"/>
      <c r="BB49" s="17"/>
      <c r="BC49" s="17"/>
      <c r="BD49" s="17"/>
      <c r="BE49" s="17"/>
      <c r="BF49" s="26"/>
      <c r="BG49" s="26"/>
      <c r="BH49" s="27"/>
      <c r="BI49" s="17"/>
      <c r="BJ49" s="17"/>
      <c r="BK49" s="17"/>
      <c r="BL49" s="17"/>
      <c r="BM49" s="26"/>
      <c r="BN49" s="26"/>
      <c r="BO49" s="27"/>
      <c r="BP49" s="17"/>
      <c r="BQ49" s="17"/>
      <c r="BR49" s="17"/>
      <c r="BS49" s="17"/>
      <c r="BT49" s="26"/>
      <c r="BU49" s="26"/>
      <c r="BV49" s="27"/>
      <c r="BW49" s="17"/>
      <c r="BX49" s="17"/>
      <c r="BY49" s="17"/>
      <c r="BZ49" s="17"/>
      <c r="CA49" s="26"/>
      <c r="CB49" s="26"/>
    </row>
    <row r="50" customFormat="false" ht="15" hidden="false" customHeight="true" outlineLevel="2" collapsed="false">
      <c r="A50" s="15" t="s">
        <v>163</v>
      </c>
      <c r="B50" s="16"/>
      <c r="C50" s="33" t="s">
        <v>164</v>
      </c>
      <c r="D50" s="17"/>
      <c r="E50" s="18" t="s">
        <v>165</v>
      </c>
      <c r="F50" s="19"/>
      <c r="G50" s="30" t="s">
        <v>166</v>
      </c>
      <c r="H50" s="21" t="s">
        <v>93</v>
      </c>
      <c r="I50" s="22" t="s">
        <v>32</v>
      </c>
      <c r="J50" s="19"/>
      <c r="K50" s="15" t="s">
        <v>99</v>
      </c>
      <c r="L50" s="23" t="n">
        <f aca="false">MAX(DATE(2026,10,24),IF(COUNT(O51,O52)=0,0,MAX(O51,O52)+1))</f>
        <v>46319</v>
      </c>
      <c r="M50" s="24" t="n">
        <v>1</v>
      </c>
      <c r="N50" s="23"/>
      <c r="O50" s="23" t="n">
        <v>46319</v>
      </c>
      <c r="P50" s="22" t="s">
        <v>34</v>
      </c>
      <c r="Q50" s="17"/>
      <c r="R50" s="27"/>
      <c r="S50" s="17"/>
      <c r="T50" s="17"/>
      <c r="U50" s="17"/>
      <c r="V50" s="17"/>
      <c r="W50" s="26"/>
      <c r="X50" s="26"/>
      <c r="Y50" s="27"/>
      <c r="Z50" s="17"/>
      <c r="AA50" s="17"/>
      <c r="AB50" s="17"/>
      <c r="AC50" s="17"/>
      <c r="AD50" s="26"/>
      <c r="AE50" s="26"/>
      <c r="AF50" s="27"/>
      <c r="AG50" s="17"/>
      <c r="AH50" s="28"/>
      <c r="AI50" s="17"/>
      <c r="AJ50" s="17"/>
      <c r="AK50" s="26"/>
      <c r="AL50" s="26"/>
      <c r="AM50" s="27"/>
      <c r="AN50" s="17"/>
      <c r="AO50" s="17"/>
      <c r="AP50" s="17"/>
      <c r="AQ50" s="17"/>
      <c r="AR50" s="26"/>
      <c r="AS50" s="26"/>
      <c r="AT50" s="27"/>
      <c r="AU50" s="17"/>
      <c r="AV50" s="17"/>
      <c r="AW50" s="17"/>
      <c r="AX50" s="17"/>
      <c r="AY50" s="26"/>
      <c r="AZ50" s="26"/>
      <c r="BA50" s="27"/>
      <c r="BB50" s="17"/>
      <c r="BC50" s="17"/>
      <c r="BD50" s="17"/>
      <c r="BE50" s="17"/>
      <c r="BF50" s="26"/>
      <c r="BG50" s="26"/>
      <c r="BH50" s="27"/>
      <c r="BI50" s="17"/>
      <c r="BJ50" s="17"/>
      <c r="BK50" s="17"/>
      <c r="BL50" s="17"/>
      <c r="BM50" s="26"/>
      <c r="BN50" s="26"/>
      <c r="BO50" s="27"/>
      <c r="BP50" s="17"/>
      <c r="BQ50" s="17"/>
      <c r="BR50" s="17"/>
      <c r="BS50" s="17"/>
      <c r="BT50" s="26"/>
      <c r="BU50" s="26"/>
      <c r="BV50" s="27"/>
      <c r="BW50" s="17"/>
      <c r="BX50" s="17"/>
      <c r="BY50" s="17"/>
      <c r="BZ50" s="17"/>
      <c r="CA50" s="26"/>
      <c r="CB50" s="26"/>
    </row>
    <row r="51" customFormat="false" ht="15" hidden="false" customHeight="true" outlineLevel="2" collapsed="false">
      <c r="A51" s="15" t="s">
        <v>167</v>
      </c>
      <c r="B51" s="16"/>
      <c r="C51" s="33" t="s">
        <v>168</v>
      </c>
      <c r="D51" s="17"/>
      <c r="E51" s="18" t="s">
        <v>169</v>
      </c>
      <c r="F51" s="19"/>
      <c r="G51" s="30" t="s">
        <v>160</v>
      </c>
      <c r="H51" s="21" t="s">
        <v>31</v>
      </c>
      <c r="I51" s="22" t="s">
        <v>32</v>
      </c>
      <c r="J51" s="19"/>
      <c r="K51" s="15" t="s">
        <v>99</v>
      </c>
      <c r="L51" s="23" t="n">
        <f aca="false">MAX(DATE(2026,10,22),IF(COUNT(O49)=0,0,MAX(O49)+1))</f>
        <v>46317</v>
      </c>
      <c r="M51" s="24" t="n">
        <v>2</v>
      </c>
      <c r="N51" s="23"/>
      <c r="O51" s="23" t="n">
        <v>46318</v>
      </c>
      <c r="P51" s="22" t="s">
        <v>34</v>
      </c>
      <c r="Q51" s="17"/>
      <c r="R51" s="27"/>
      <c r="S51" s="17"/>
      <c r="T51" s="17"/>
      <c r="U51" s="17"/>
      <c r="V51" s="17"/>
      <c r="W51" s="26"/>
      <c r="X51" s="26"/>
      <c r="Y51" s="27"/>
      <c r="Z51" s="17"/>
      <c r="AA51" s="17"/>
      <c r="AB51" s="17"/>
      <c r="AC51" s="17"/>
      <c r="AD51" s="26"/>
      <c r="AE51" s="26"/>
      <c r="AF51" s="27"/>
      <c r="AG51" s="17"/>
      <c r="AH51" s="28"/>
      <c r="AI51" s="17"/>
      <c r="AJ51" s="17"/>
      <c r="AK51" s="26"/>
      <c r="AL51" s="26"/>
      <c r="AM51" s="27"/>
      <c r="AN51" s="17"/>
      <c r="AO51" s="17"/>
      <c r="AP51" s="17"/>
      <c r="AQ51" s="17"/>
      <c r="AR51" s="26"/>
      <c r="AS51" s="26"/>
      <c r="AT51" s="27"/>
      <c r="AU51" s="17"/>
      <c r="AV51" s="17"/>
      <c r="AW51" s="17"/>
      <c r="AX51" s="17"/>
      <c r="AY51" s="26"/>
      <c r="AZ51" s="26"/>
      <c r="BA51" s="27"/>
      <c r="BB51" s="17"/>
      <c r="BC51" s="17"/>
      <c r="BD51" s="17"/>
      <c r="BE51" s="17"/>
      <c r="BF51" s="26"/>
      <c r="BG51" s="26"/>
      <c r="BH51" s="27"/>
      <c r="BI51" s="17"/>
      <c r="BJ51" s="17"/>
      <c r="BK51" s="17"/>
      <c r="BL51" s="17"/>
      <c r="BM51" s="26"/>
      <c r="BN51" s="26"/>
      <c r="BO51" s="27"/>
      <c r="BP51" s="17"/>
      <c r="BQ51" s="17"/>
      <c r="BR51" s="17"/>
      <c r="BS51" s="17"/>
      <c r="BT51" s="26"/>
      <c r="BU51" s="26"/>
      <c r="BV51" s="27"/>
      <c r="BW51" s="17"/>
      <c r="BX51" s="17"/>
      <c r="BY51" s="17"/>
      <c r="BZ51" s="17"/>
      <c r="CA51" s="26"/>
      <c r="CB51" s="26"/>
    </row>
    <row r="52" customFormat="false" ht="15" hidden="false" customHeight="true" outlineLevel="2" collapsed="false">
      <c r="A52" s="15" t="s">
        <v>170</v>
      </c>
      <c r="B52" s="16"/>
      <c r="C52" s="33" t="s">
        <v>171</v>
      </c>
      <c r="D52" s="17"/>
      <c r="E52" s="18" t="s">
        <v>172</v>
      </c>
      <c r="F52" s="19"/>
      <c r="G52" s="30" t="s">
        <v>160</v>
      </c>
      <c r="H52" s="21" t="s">
        <v>31</v>
      </c>
      <c r="I52" s="22" t="s">
        <v>32</v>
      </c>
      <c r="J52" s="19"/>
      <c r="K52" s="15" t="s">
        <v>99</v>
      </c>
      <c r="L52" s="23" t="n">
        <f aca="false">MAX(DATE(2026,10,22),IF(COUNT(O49)=0,0,MAX(O49)+1))</f>
        <v>46317</v>
      </c>
      <c r="M52" s="24" t="n">
        <v>2</v>
      </c>
      <c r="N52" s="23"/>
      <c r="O52" s="23" t="n">
        <v>46318</v>
      </c>
      <c r="P52" s="22" t="s">
        <v>34</v>
      </c>
      <c r="Q52" s="17"/>
      <c r="R52" s="27"/>
      <c r="S52" s="17"/>
      <c r="T52" s="17"/>
      <c r="U52" s="17"/>
      <c r="V52" s="17"/>
      <c r="W52" s="26"/>
      <c r="X52" s="26"/>
      <c r="Y52" s="27"/>
      <c r="Z52" s="17"/>
      <c r="AA52" s="17"/>
      <c r="AB52" s="17"/>
      <c r="AC52" s="17"/>
      <c r="AD52" s="26"/>
      <c r="AE52" s="26"/>
      <c r="AF52" s="27"/>
      <c r="AG52" s="17"/>
      <c r="AH52" s="28"/>
      <c r="AI52" s="17"/>
      <c r="AJ52" s="17"/>
      <c r="AK52" s="26"/>
      <c r="AL52" s="26"/>
      <c r="AM52" s="27"/>
      <c r="AN52" s="17"/>
      <c r="AO52" s="17"/>
      <c r="AP52" s="17"/>
      <c r="AQ52" s="17"/>
      <c r="AR52" s="26"/>
      <c r="AS52" s="26"/>
      <c r="AT52" s="27"/>
      <c r="AU52" s="17"/>
      <c r="AV52" s="17"/>
      <c r="AW52" s="17"/>
      <c r="AX52" s="17"/>
      <c r="AY52" s="26"/>
      <c r="AZ52" s="26"/>
      <c r="BA52" s="27"/>
      <c r="BB52" s="17"/>
      <c r="BC52" s="17"/>
      <c r="BD52" s="17"/>
      <c r="BE52" s="17"/>
      <c r="BF52" s="26"/>
      <c r="BG52" s="26"/>
      <c r="BH52" s="27"/>
      <c r="BI52" s="17"/>
      <c r="BJ52" s="17"/>
      <c r="BK52" s="17"/>
      <c r="BL52" s="17"/>
      <c r="BM52" s="26"/>
      <c r="BN52" s="26"/>
      <c r="BO52" s="27"/>
      <c r="BP52" s="17"/>
      <c r="BQ52" s="17"/>
      <c r="BR52" s="17"/>
      <c r="BS52" s="17"/>
      <c r="BT52" s="26"/>
      <c r="BU52" s="26"/>
      <c r="BV52" s="27"/>
      <c r="BW52" s="17"/>
      <c r="BX52" s="17"/>
      <c r="BY52" s="17"/>
      <c r="BZ52" s="17"/>
      <c r="CA52" s="26"/>
      <c r="CB52" s="26"/>
    </row>
    <row r="53" customFormat="false" ht="15" hidden="false" customHeight="true" outlineLevel="1" collapsed="false">
      <c r="A53" s="31" t="s">
        <v>173</v>
      </c>
      <c r="B53" s="32" t="s">
        <v>174</v>
      </c>
      <c r="C53" s="17"/>
      <c r="D53" s="17"/>
      <c r="E53" s="18" t="s">
        <v>175</v>
      </c>
      <c r="F53" s="19"/>
      <c r="G53" s="20" t="s">
        <v>30</v>
      </c>
      <c r="H53" s="21" t="s">
        <v>31</v>
      </c>
      <c r="I53" s="22" t="s">
        <v>54</v>
      </c>
      <c r="J53" s="19"/>
      <c r="K53" s="15" t="s">
        <v>99</v>
      </c>
      <c r="L53" s="23" t="n">
        <f aca="false">IF(COUNT(L54,L55,L59,L60,L61,L62)=0,"",MIN(L54,L55,L59,L60,L61,L62))</f>
        <v>46315</v>
      </c>
      <c r="M53" s="24" t="n">
        <f aca="false">IF(AND(ISNUMBER(L53),ISNUMBER(O53)),O53-L53+1,"")</f>
        <v>18</v>
      </c>
      <c r="N53" s="23"/>
      <c r="O53" s="23" t="n">
        <f aca="false">IF(COUNT(O54,O55,O59,O60,O61,O62)=0,"",MAX(O54,O55,O59,O60,O61,O62))</f>
        <v>46332</v>
      </c>
      <c r="P53" s="22"/>
      <c r="Q53" s="17"/>
      <c r="R53" s="27"/>
      <c r="S53" s="17"/>
      <c r="T53" s="17"/>
      <c r="U53" s="17"/>
      <c r="V53" s="17"/>
      <c r="W53" s="26"/>
      <c r="X53" s="26"/>
      <c r="Y53" s="27"/>
      <c r="Z53" s="17"/>
      <c r="AA53" s="17"/>
      <c r="AB53" s="17"/>
      <c r="AC53" s="17"/>
      <c r="AD53" s="26"/>
      <c r="AE53" s="26"/>
      <c r="AF53" s="27"/>
      <c r="AG53" s="17"/>
      <c r="AH53" s="28"/>
      <c r="AI53" s="17"/>
      <c r="AJ53" s="17"/>
      <c r="AK53" s="26"/>
      <c r="AL53" s="26"/>
      <c r="AM53" s="27"/>
      <c r="AN53" s="17"/>
      <c r="AO53" s="17"/>
      <c r="AP53" s="17"/>
      <c r="AQ53" s="17"/>
      <c r="AR53" s="26"/>
      <c r="AS53" s="26"/>
      <c r="AT53" s="27"/>
      <c r="AU53" s="17"/>
      <c r="AV53" s="17"/>
      <c r="AW53" s="17"/>
      <c r="AX53" s="17"/>
      <c r="AY53" s="26"/>
      <c r="AZ53" s="26"/>
      <c r="BA53" s="27"/>
      <c r="BB53" s="17"/>
      <c r="BC53" s="17"/>
      <c r="BD53" s="17"/>
      <c r="BE53" s="17"/>
      <c r="BF53" s="26"/>
      <c r="BG53" s="26"/>
      <c r="BH53" s="27"/>
      <c r="BI53" s="17"/>
      <c r="BJ53" s="17"/>
      <c r="BK53" s="17"/>
      <c r="BL53" s="17"/>
      <c r="BM53" s="26"/>
      <c r="BN53" s="26"/>
      <c r="BO53" s="27"/>
      <c r="BP53" s="17"/>
      <c r="BQ53" s="17"/>
      <c r="BR53" s="17"/>
      <c r="BS53" s="17"/>
      <c r="BT53" s="26"/>
      <c r="BU53" s="26"/>
      <c r="BV53" s="27"/>
      <c r="BW53" s="17"/>
      <c r="BX53" s="17"/>
      <c r="BY53" s="17"/>
      <c r="BZ53" s="17"/>
      <c r="CA53" s="26"/>
      <c r="CB53" s="26"/>
    </row>
    <row r="54" customFormat="false" ht="15" hidden="false" customHeight="true" outlineLevel="2" collapsed="false">
      <c r="A54" s="15" t="s">
        <v>176</v>
      </c>
      <c r="B54" s="16"/>
      <c r="C54" s="33" t="s">
        <v>177</v>
      </c>
      <c r="D54" s="17"/>
      <c r="E54" s="18" t="s">
        <v>178</v>
      </c>
      <c r="F54" s="19"/>
      <c r="G54" s="20" t="s">
        <v>30</v>
      </c>
      <c r="H54" s="21" t="s">
        <v>31</v>
      </c>
      <c r="I54" s="22" t="s">
        <v>54</v>
      </c>
      <c r="J54" s="19"/>
      <c r="K54" s="15" t="s">
        <v>99</v>
      </c>
      <c r="L54" s="23" t="n">
        <v>46323</v>
      </c>
      <c r="M54" s="24" t="n">
        <v>2</v>
      </c>
      <c r="N54" s="23"/>
      <c r="O54" s="23" t="n">
        <f aca="false">IF(ISNUMBER(L54),L54+M54-1,"")</f>
        <v>46324</v>
      </c>
      <c r="P54" s="22" t="s">
        <v>41</v>
      </c>
      <c r="Q54" s="17"/>
      <c r="R54" s="27"/>
      <c r="S54" s="17"/>
      <c r="T54" s="17"/>
      <c r="U54" s="17"/>
      <c r="V54" s="17"/>
      <c r="W54" s="26"/>
      <c r="X54" s="26"/>
      <c r="Y54" s="27"/>
      <c r="Z54" s="17"/>
      <c r="AA54" s="17"/>
      <c r="AB54" s="17"/>
      <c r="AC54" s="17"/>
      <c r="AD54" s="26"/>
      <c r="AE54" s="26"/>
      <c r="AF54" s="27"/>
      <c r="AG54" s="17"/>
      <c r="AH54" s="28"/>
      <c r="AI54" s="17"/>
      <c r="AJ54" s="17"/>
      <c r="AK54" s="26"/>
      <c r="AL54" s="26"/>
      <c r="AM54" s="27"/>
      <c r="AN54" s="17"/>
      <c r="AO54" s="17"/>
      <c r="AP54" s="17"/>
      <c r="AQ54" s="17"/>
      <c r="AR54" s="26"/>
      <c r="AS54" s="26"/>
      <c r="AT54" s="27"/>
      <c r="AU54" s="17"/>
      <c r="AV54" s="17"/>
      <c r="AW54" s="17"/>
      <c r="AX54" s="17"/>
      <c r="AY54" s="26"/>
      <c r="AZ54" s="26"/>
      <c r="BA54" s="27"/>
      <c r="BB54" s="17"/>
      <c r="BC54" s="17"/>
      <c r="BD54" s="17"/>
      <c r="BE54" s="17"/>
      <c r="BF54" s="26"/>
      <c r="BG54" s="26"/>
      <c r="BH54" s="27"/>
      <c r="BI54" s="17"/>
      <c r="BJ54" s="17"/>
      <c r="BK54" s="17"/>
      <c r="BL54" s="17"/>
      <c r="BM54" s="26"/>
      <c r="BN54" s="26"/>
      <c r="BO54" s="27"/>
      <c r="BP54" s="17"/>
      <c r="BQ54" s="17"/>
      <c r="BR54" s="17"/>
      <c r="BS54" s="17"/>
      <c r="BT54" s="26"/>
      <c r="BU54" s="26"/>
      <c r="BV54" s="27"/>
      <c r="BW54" s="17"/>
      <c r="BX54" s="17"/>
      <c r="BY54" s="17"/>
      <c r="BZ54" s="17"/>
      <c r="CA54" s="26"/>
      <c r="CB54" s="26"/>
    </row>
    <row r="55" customFormat="false" ht="15" hidden="false" customHeight="true" outlineLevel="2" collapsed="false">
      <c r="A55" s="31" t="s">
        <v>179</v>
      </c>
      <c r="B55" s="16"/>
      <c r="C55" s="44" t="s">
        <v>180</v>
      </c>
      <c r="D55" s="17"/>
      <c r="E55" s="18" t="s">
        <v>181</v>
      </c>
      <c r="F55" s="19"/>
      <c r="G55" s="20" t="s">
        <v>30</v>
      </c>
      <c r="H55" s="21" t="s">
        <v>31</v>
      </c>
      <c r="I55" s="22" t="s">
        <v>54</v>
      </c>
      <c r="J55" s="19"/>
      <c r="K55" s="15" t="s">
        <v>99</v>
      </c>
      <c r="L55" s="23" t="n">
        <f aca="false">IF(COUNT(L56,L57,L58)=0,"",MIN(L56,L57,L58))</f>
        <v>46315</v>
      </c>
      <c r="M55" s="24" t="n">
        <f aca="false">IF(AND(ISNUMBER(L55),ISNUMBER(O55)),O55-L55+1,"")</f>
        <v>15</v>
      </c>
      <c r="N55" s="23"/>
      <c r="O55" s="23" t="n">
        <f aca="false">IF(COUNT(O56,O57,O58)=0,"",MAX(O56,O57,O58))</f>
        <v>46329</v>
      </c>
      <c r="P55" s="22"/>
      <c r="Q55" s="17"/>
      <c r="R55" s="27"/>
      <c r="S55" s="17"/>
      <c r="T55" s="17"/>
      <c r="U55" s="17"/>
      <c r="V55" s="17"/>
      <c r="W55" s="26"/>
      <c r="X55" s="26"/>
      <c r="Y55" s="27"/>
      <c r="Z55" s="17"/>
      <c r="AA55" s="17"/>
      <c r="AB55" s="17"/>
      <c r="AC55" s="17"/>
      <c r="AD55" s="26"/>
      <c r="AE55" s="26"/>
      <c r="AF55" s="27"/>
      <c r="AG55" s="17"/>
      <c r="AH55" s="28"/>
      <c r="AI55" s="17"/>
      <c r="AJ55" s="17"/>
      <c r="AK55" s="26"/>
      <c r="AL55" s="26"/>
      <c r="AM55" s="27"/>
      <c r="AN55" s="17"/>
      <c r="AO55" s="17"/>
      <c r="AP55" s="17"/>
      <c r="AQ55" s="17"/>
      <c r="AR55" s="26"/>
      <c r="AS55" s="26"/>
      <c r="AT55" s="27"/>
      <c r="AU55" s="17"/>
      <c r="AV55" s="17"/>
      <c r="AW55" s="17"/>
      <c r="AX55" s="17"/>
      <c r="AY55" s="26"/>
      <c r="AZ55" s="26"/>
      <c r="BA55" s="27"/>
      <c r="BB55" s="17"/>
      <c r="BC55" s="17"/>
      <c r="BD55" s="17"/>
      <c r="BE55" s="17"/>
      <c r="BF55" s="26"/>
      <c r="BG55" s="26"/>
      <c r="BH55" s="27"/>
      <c r="BI55" s="17"/>
      <c r="BJ55" s="17"/>
      <c r="BK55" s="17"/>
      <c r="BL55" s="17"/>
      <c r="BM55" s="26"/>
      <c r="BN55" s="26"/>
      <c r="BO55" s="27"/>
      <c r="BP55" s="17"/>
      <c r="BQ55" s="17"/>
      <c r="BR55" s="17"/>
      <c r="BS55" s="17"/>
      <c r="BT55" s="26"/>
      <c r="BU55" s="26"/>
      <c r="BV55" s="27"/>
      <c r="BW55" s="17"/>
      <c r="BX55" s="17"/>
      <c r="BY55" s="17"/>
      <c r="BZ55" s="17"/>
      <c r="CA55" s="26"/>
      <c r="CB55" s="26"/>
    </row>
    <row r="56" customFormat="false" ht="15" hidden="false" customHeight="true" outlineLevel="3" collapsed="false">
      <c r="A56" s="15" t="s">
        <v>182</v>
      </c>
      <c r="B56" s="16"/>
      <c r="C56" s="17"/>
      <c r="D56" s="33" t="s">
        <v>183</v>
      </c>
      <c r="E56" s="18" t="s">
        <v>184</v>
      </c>
      <c r="F56" s="19"/>
      <c r="G56" s="20" t="s">
        <v>30</v>
      </c>
      <c r="H56" s="21" t="s">
        <v>75</v>
      </c>
      <c r="I56" s="22" t="s">
        <v>32</v>
      </c>
      <c r="J56" s="19"/>
      <c r="K56" s="15" t="s">
        <v>99</v>
      </c>
      <c r="L56" s="23" t="n">
        <v>46323</v>
      </c>
      <c r="M56" s="24" t="n">
        <v>3</v>
      </c>
      <c r="N56" s="23"/>
      <c r="O56" s="23" t="n">
        <f aca="false">IF(ISNUMBER(L56),L56+M56-1,"")</f>
        <v>46325</v>
      </c>
      <c r="P56" s="22" t="s">
        <v>41</v>
      </c>
      <c r="Q56" s="17"/>
      <c r="R56" s="27"/>
      <c r="S56" s="17"/>
      <c r="T56" s="17"/>
      <c r="U56" s="17"/>
      <c r="V56" s="17"/>
      <c r="W56" s="26"/>
      <c r="X56" s="26"/>
      <c r="Y56" s="27"/>
      <c r="Z56" s="17"/>
      <c r="AA56" s="17"/>
      <c r="AB56" s="17"/>
      <c r="AC56" s="17"/>
      <c r="AD56" s="26"/>
      <c r="AE56" s="26"/>
      <c r="AF56" s="27"/>
      <c r="AG56" s="17"/>
      <c r="AH56" s="28"/>
      <c r="AI56" s="17"/>
      <c r="AJ56" s="17"/>
      <c r="AK56" s="26"/>
      <c r="AL56" s="26"/>
      <c r="AM56" s="27"/>
      <c r="AN56" s="17"/>
      <c r="AO56" s="17"/>
      <c r="AP56" s="17"/>
      <c r="AQ56" s="17"/>
      <c r="AR56" s="26"/>
      <c r="AS56" s="26"/>
      <c r="AT56" s="27"/>
      <c r="AU56" s="17"/>
      <c r="AV56" s="17"/>
      <c r="AW56" s="17"/>
      <c r="AX56" s="17"/>
      <c r="AY56" s="26"/>
      <c r="AZ56" s="26"/>
      <c r="BA56" s="27"/>
      <c r="BB56" s="17"/>
      <c r="BC56" s="17"/>
      <c r="BD56" s="17"/>
      <c r="BE56" s="17"/>
      <c r="BF56" s="26"/>
      <c r="BG56" s="26"/>
      <c r="BH56" s="27"/>
      <c r="BI56" s="17"/>
      <c r="BJ56" s="17"/>
      <c r="BK56" s="17"/>
      <c r="BL56" s="17"/>
      <c r="BM56" s="26"/>
      <c r="BN56" s="26"/>
      <c r="BO56" s="27"/>
      <c r="BP56" s="17"/>
      <c r="BQ56" s="17"/>
      <c r="BR56" s="17"/>
      <c r="BS56" s="17"/>
      <c r="BT56" s="26"/>
      <c r="BU56" s="26"/>
      <c r="BV56" s="27"/>
      <c r="BW56" s="17"/>
      <c r="BX56" s="17"/>
      <c r="BY56" s="17"/>
      <c r="BZ56" s="17"/>
      <c r="CA56" s="26"/>
      <c r="CB56" s="26"/>
    </row>
    <row r="57" customFormat="false" ht="15" hidden="false" customHeight="true" outlineLevel="3" collapsed="false">
      <c r="A57" s="15" t="s">
        <v>185</v>
      </c>
      <c r="B57" s="16"/>
      <c r="C57" s="17"/>
      <c r="D57" s="33" t="s">
        <v>186</v>
      </c>
      <c r="E57" s="18" t="s">
        <v>187</v>
      </c>
      <c r="F57" s="19"/>
      <c r="G57" s="20" t="s">
        <v>30</v>
      </c>
      <c r="H57" s="21" t="s">
        <v>93</v>
      </c>
      <c r="I57" s="22" t="s">
        <v>32</v>
      </c>
      <c r="J57" s="19"/>
      <c r="K57" s="15" t="s">
        <v>99</v>
      </c>
      <c r="L57" s="23" t="n">
        <v>46315</v>
      </c>
      <c r="M57" s="24" t="n">
        <v>4</v>
      </c>
      <c r="N57" s="23"/>
      <c r="O57" s="23" t="n">
        <f aca="false">IF(ISNUMBER(L57),L57+M57-1,"")</f>
        <v>46318</v>
      </c>
      <c r="P57" s="22" t="s">
        <v>41</v>
      </c>
      <c r="Q57" s="17"/>
      <c r="R57" s="27"/>
      <c r="S57" s="17"/>
      <c r="T57" s="17"/>
      <c r="U57" s="17"/>
      <c r="V57" s="17"/>
      <c r="W57" s="26"/>
      <c r="X57" s="26"/>
      <c r="Y57" s="27"/>
      <c r="Z57" s="17"/>
      <c r="AA57" s="17"/>
      <c r="AB57" s="17"/>
      <c r="AC57" s="17"/>
      <c r="AD57" s="26"/>
      <c r="AE57" s="26"/>
      <c r="AF57" s="27"/>
      <c r="AG57" s="17"/>
      <c r="AH57" s="28"/>
      <c r="AI57" s="17"/>
      <c r="AJ57" s="17"/>
      <c r="AK57" s="26"/>
      <c r="AL57" s="26"/>
      <c r="AM57" s="27"/>
      <c r="AN57" s="17"/>
      <c r="AO57" s="17"/>
      <c r="AP57" s="17"/>
      <c r="AQ57" s="17"/>
      <c r="AR57" s="26"/>
      <c r="AS57" s="26"/>
      <c r="AT57" s="27"/>
      <c r="AU57" s="17"/>
      <c r="AV57" s="17"/>
      <c r="AW57" s="17"/>
      <c r="AX57" s="17"/>
      <c r="AY57" s="26"/>
      <c r="AZ57" s="26"/>
      <c r="BA57" s="27"/>
      <c r="BB57" s="17"/>
      <c r="BC57" s="17"/>
      <c r="BD57" s="17"/>
      <c r="BE57" s="17"/>
      <c r="BF57" s="26"/>
      <c r="BG57" s="26"/>
      <c r="BH57" s="27"/>
      <c r="BI57" s="17"/>
      <c r="BJ57" s="17"/>
      <c r="BK57" s="17"/>
      <c r="BL57" s="17"/>
      <c r="BM57" s="26"/>
      <c r="BN57" s="26"/>
      <c r="BO57" s="27"/>
      <c r="BP57" s="17"/>
      <c r="BQ57" s="17"/>
      <c r="BR57" s="17"/>
      <c r="BS57" s="17"/>
      <c r="BT57" s="26"/>
      <c r="BU57" s="26"/>
      <c r="BV57" s="27"/>
      <c r="BW57" s="17"/>
      <c r="BX57" s="17"/>
      <c r="BY57" s="17"/>
      <c r="BZ57" s="17"/>
      <c r="CA57" s="26"/>
      <c r="CB57" s="26"/>
    </row>
    <row r="58" customFormat="false" ht="15" hidden="false" customHeight="true" outlineLevel="3" collapsed="false">
      <c r="A58" s="31" t="s">
        <v>188</v>
      </c>
      <c r="B58" s="16"/>
      <c r="C58" s="17"/>
      <c r="D58" s="33" t="s">
        <v>189</v>
      </c>
      <c r="E58" s="18" t="s">
        <v>190</v>
      </c>
      <c r="F58" s="19"/>
      <c r="G58" s="30" t="s">
        <v>191</v>
      </c>
      <c r="H58" s="21" t="s">
        <v>31</v>
      </c>
      <c r="I58" s="22" t="s">
        <v>54</v>
      </c>
      <c r="J58" s="19"/>
      <c r="K58" s="15" t="s">
        <v>99</v>
      </c>
      <c r="L58" s="23" t="n">
        <f aca="false">MAX(DATE(2026,10,30),IF(COUNT(O9,O10,O56,O57)=0,0,MAX(O9,O10,O56,O57)+1))</f>
        <v>46326</v>
      </c>
      <c r="M58" s="24" t="n">
        <v>4</v>
      </c>
      <c r="N58" s="23"/>
      <c r="O58" s="23" t="n">
        <f aca="false">IF(ISNUMBER(L58),L58+M58-1,"")</f>
        <v>46329</v>
      </c>
      <c r="P58" s="22" t="s">
        <v>41</v>
      </c>
      <c r="Q58" s="17"/>
      <c r="R58" s="27"/>
      <c r="S58" s="17"/>
      <c r="T58" s="17"/>
      <c r="U58" s="17"/>
      <c r="V58" s="17"/>
      <c r="W58" s="26"/>
      <c r="X58" s="26"/>
      <c r="Y58" s="27"/>
      <c r="Z58" s="17"/>
      <c r="AA58" s="17"/>
      <c r="AB58" s="17"/>
      <c r="AC58" s="17"/>
      <c r="AD58" s="26"/>
      <c r="AE58" s="26"/>
      <c r="AF58" s="27"/>
      <c r="AG58" s="17"/>
      <c r="AH58" s="28"/>
      <c r="AI58" s="17"/>
      <c r="AJ58" s="17"/>
      <c r="AK58" s="26"/>
      <c r="AL58" s="26"/>
      <c r="AM58" s="27"/>
      <c r="AN58" s="17"/>
      <c r="AO58" s="17"/>
      <c r="AP58" s="17"/>
      <c r="AQ58" s="17"/>
      <c r="AR58" s="26"/>
      <c r="AS58" s="26"/>
      <c r="AT58" s="27"/>
      <c r="AU58" s="17"/>
      <c r="AV58" s="17"/>
      <c r="AW58" s="17"/>
      <c r="AX58" s="17"/>
      <c r="AY58" s="26"/>
      <c r="AZ58" s="26"/>
      <c r="BA58" s="27"/>
      <c r="BB58" s="17"/>
      <c r="BC58" s="17"/>
      <c r="BD58" s="17"/>
      <c r="BE58" s="17"/>
      <c r="BF58" s="26"/>
      <c r="BG58" s="26"/>
      <c r="BH58" s="27"/>
      <c r="BI58" s="17"/>
      <c r="BJ58" s="17"/>
      <c r="BK58" s="17"/>
      <c r="BL58" s="17"/>
      <c r="BM58" s="26"/>
      <c r="BN58" s="26"/>
      <c r="BO58" s="27"/>
      <c r="BP58" s="17"/>
      <c r="BQ58" s="17"/>
      <c r="BR58" s="17"/>
      <c r="BS58" s="17"/>
      <c r="BT58" s="26"/>
      <c r="BU58" s="26"/>
      <c r="BV58" s="27"/>
      <c r="BW58" s="17"/>
      <c r="BX58" s="17"/>
      <c r="BY58" s="17"/>
      <c r="BZ58" s="17"/>
      <c r="CA58" s="26"/>
      <c r="CB58" s="26"/>
    </row>
    <row r="59" customFormat="false" ht="15" hidden="false" customHeight="true" outlineLevel="2" collapsed="false">
      <c r="A59" s="15" t="s">
        <v>192</v>
      </c>
      <c r="B59" s="16"/>
      <c r="C59" s="33" t="s">
        <v>193</v>
      </c>
      <c r="D59" s="17"/>
      <c r="E59" s="18" t="s">
        <v>194</v>
      </c>
      <c r="F59" s="19"/>
      <c r="G59" s="20" t="s">
        <v>30</v>
      </c>
      <c r="H59" s="21" t="s">
        <v>31</v>
      </c>
      <c r="I59" s="22" t="s">
        <v>103</v>
      </c>
      <c r="J59" s="19"/>
      <c r="K59" s="15" t="s">
        <v>99</v>
      </c>
      <c r="L59" s="23" t="n">
        <v>46322</v>
      </c>
      <c r="M59" s="24" t="n">
        <v>3</v>
      </c>
      <c r="N59" s="23"/>
      <c r="O59" s="23" t="n">
        <f aca="false">IF(ISNUMBER(L59),L59+M59-1,"")</f>
        <v>46324</v>
      </c>
      <c r="P59" s="22" t="s">
        <v>41</v>
      </c>
      <c r="Q59" s="17"/>
      <c r="R59" s="27"/>
      <c r="S59" s="17"/>
      <c r="T59" s="17"/>
      <c r="U59" s="17"/>
      <c r="V59" s="17"/>
      <c r="W59" s="26"/>
      <c r="X59" s="26"/>
      <c r="Y59" s="27"/>
      <c r="Z59" s="17"/>
      <c r="AA59" s="17"/>
      <c r="AB59" s="17"/>
      <c r="AC59" s="17"/>
      <c r="AD59" s="26"/>
      <c r="AE59" s="26"/>
      <c r="AF59" s="27"/>
      <c r="AG59" s="17"/>
      <c r="AH59" s="28"/>
      <c r="AI59" s="17"/>
      <c r="AJ59" s="17"/>
      <c r="AK59" s="26"/>
      <c r="AL59" s="26"/>
      <c r="AM59" s="27"/>
      <c r="AN59" s="17"/>
      <c r="AO59" s="17"/>
      <c r="AP59" s="17"/>
      <c r="AQ59" s="17"/>
      <c r="AR59" s="26"/>
      <c r="AS59" s="26"/>
      <c r="AT59" s="27"/>
      <c r="AU59" s="17"/>
      <c r="AV59" s="17"/>
      <c r="AW59" s="17"/>
      <c r="AX59" s="17"/>
      <c r="AY59" s="26"/>
      <c r="AZ59" s="26"/>
      <c r="BA59" s="27"/>
      <c r="BB59" s="17"/>
      <c r="BC59" s="17"/>
      <c r="BD59" s="17"/>
      <c r="BE59" s="17"/>
      <c r="BF59" s="26"/>
      <c r="BG59" s="26"/>
      <c r="BH59" s="27"/>
      <c r="BI59" s="17"/>
      <c r="BJ59" s="17"/>
      <c r="BK59" s="17"/>
      <c r="BL59" s="17"/>
      <c r="BM59" s="26"/>
      <c r="BN59" s="26"/>
      <c r="BO59" s="27"/>
      <c r="BP59" s="17"/>
      <c r="BQ59" s="17"/>
      <c r="BR59" s="17"/>
      <c r="BS59" s="17"/>
      <c r="BT59" s="26"/>
      <c r="BU59" s="26"/>
      <c r="BV59" s="27"/>
      <c r="BW59" s="17"/>
      <c r="BX59" s="17"/>
      <c r="BY59" s="17"/>
      <c r="BZ59" s="17"/>
      <c r="CA59" s="26"/>
      <c r="CB59" s="26"/>
    </row>
    <row r="60" customFormat="false" ht="15" hidden="false" customHeight="true" outlineLevel="2" collapsed="false">
      <c r="A60" s="15" t="s">
        <v>195</v>
      </c>
      <c r="B60" s="16"/>
      <c r="C60" s="33" t="s">
        <v>196</v>
      </c>
      <c r="D60" s="17"/>
      <c r="E60" s="18" t="s">
        <v>197</v>
      </c>
      <c r="F60" s="19"/>
      <c r="G60" s="20" t="s">
        <v>30</v>
      </c>
      <c r="H60" s="21" t="s">
        <v>31</v>
      </c>
      <c r="I60" s="22" t="s">
        <v>54</v>
      </c>
      <c r="J60" s="19"/>
      <c r="K60" s="15" t="s">
        <v>99</v>
      </c>
      <c r="L60" s="23" t="n">
        <v>46317</v>
      </c>
      <c r="M60" s="24" t="n">
        <v>7</v>
      </c>
      <c r="N60" s="23"/>
      <c r="O60" s="23" t="n">
        <f aca="false">IF(ISNUMBER(L60),L60+M60-1,"")</f>
        <v>46323</v>
      </c>
      <c r="P60" s="22" t="s">
        <v>41</v>
      </c>
      <c r="Q60" s="17"/>
      <c r="R60" s="27"/>
      <c r="S60" s="17"/>
      <c r="T60" s="17"/>
      <c r="U60" s="17"/>
      <c r="V60" s="17"/>
      <c r="W60" s="26"/>
      <c r="X60" s="26"/>
      <c r="Y60" s="27"/>
      <c r="Z60" s="17"/>
      <c r="AA60" s="17"/>
      <c r="AB60" s="17"/>
      <c r="AC60" s="17"/>
      <c r="AD60" s="26"/>
      <c r="AE60" s="26"/>
      <c r="AF60" s="27"/>
      <c r="AG60" s="17"/>
      <c r="AH60" s="28"/>
      <c r="AI60" s="17"/>
      <c r="AJ60" s="17"/>
      <c r="AK60" s="26"/>
      <c r="AL60" s="26"/>
      <c r="AM60" s="27"/>
      <c r="AN60" s="17"/>
      <c r="AO60" s="17"/>
      <c r="AP60" s="17"/>
      <c r="AQ60" s="17"/>
      <c r="AR60" s="26"/>
      <c r="AS60" s="26"/>
      <c r="AT60" s="27"/>
      <c r="AU60" s="17"/>
      <c r="AV60" s="17"/>
      <c r="AW60" s="17"/>
      <c r="AX60" s="17"/>
      <c r="AY60" s="26"/>
      <c r="AZ60" s="26"/>
      <c r="BA60" s="27"/>
      <c r="BB60" s="17"/>
      <c r="BC60" s="17"/>
      <c r="BD60" s="17"/>
      <c r="BE60" s="17"/>
      <c r="BF60" s="26"/>
      <c r="BG60" s="26"/>
      <c r="BH60" s="27"/>
      <c r="BI60" s="17"/>
      <c r="BJ60" s="17"/>
      <c r="BK60" s="17"/>
      <c r="BL60" s="17"/>
      <c r="BM60" s="26"/>
      <c r="BN60" s="26"/>
      <c r="BO60" s="27"/>
      <c r="BP60" s="17"/>
      <c r="BQ60" s="17"/>
      <c r="BR60" s="17"/>
      <c r="BS60" s="17"/>
      <c r="BT60" s="26"/>
      <c r="BU60" s="26"/>
      <c r="BV60" s="27"/>
      <c r="BW60" s="17"/>
      <c r="BX60" s="17"/>
      <c r="BY60" s="17"/>
      <c r="BZ60" s="17"/>
      <c r="CA60" s="26"/>
      <c r="CB60" s="26"/>
    </row>
    <row r="61" customFormat="false" ht="15" hidden="false" customHeight="true" outlineLevel="2" collapsed="false">
      <c r="A61" s="15" t="s">
        <v>198</v>
      </c>
      <c r="B61" s="16"/>
      <c r="C61" s="33" t="s">
        <v>199</v>
      </c>
      <c r="D61" s="17"/>
      <c r="E61" s="18" t="s">
        <v>200</v>
      </c>
      <c r="F61" s="19"/>
      <c r="G61" s="30" t="s">
        <v>201</v>
      </c>
      <c r="H61" s="21" t="s">
        <v>31</v>
      </c>
      <c r="I61" s="22" t="s">
        <v>54</v>
      </c>
      <c r="J61" s="19"/>
      <c r="K61" s="15" t="s">
        <v>99</v>
      </c>
      <c r="L61" s="23" t="n">
        <f aca="false">MAX(DATE(2026,10,28),IF(COUNT(O11,O12)=0,0,MAX(O11,O12)+1))</f>
        <v>46323</v>
      </c>
      <c r="M61" s="24" t="n">
        <v>1</v>
      </c>
      <c r="N61" s="23"/>
      <c r="O61" s="23" t="n">
        <f aca="false">IF(ISNUMBER(L61),L61+M61-1,"")</f>
        <v>46323</v>
      </c>
      <c r="P61" s="22" t="s">
        <v>41</v>
      </c>
      <c r="Q61" s="17"/>
      <c r="R61" s="27"/>
      <c r="S61" s="17"/>
      <c r="T61" s="17"/>
      <c r="U61" s="17"/>
      <c r="V61" s="17"/>
      <c r="W61" s="26"/>
      <c r="X61" s="26"/>
      <c r="Y61" s="27"/>
      <c r="Z61" s="17"/>
      <c r="AA61" s="17"/>
      <c r="AB61" s="17"/>
      <c r="AC61" s="17"/>
      <c r="AD61" s="26"/>
      <c r="AE61" s="26"/>
      <c r="AF61" s="27"/>
      <c r="AG61" s="17"/>
      <c r="AH61" s="28"/>
      <c r="AI61" s="17"/>
      <c r="AJ61" s="17"/>
      <c r="AK61" s="26"/>
      <c r="AL61" s="26"/>
      <c r="AM61" s="27"/>
      <c r="AN61" s="17"/>
      <c r="AO61" s="17"/>
      <c r="AP61" s="17"/>
      <c r="AQ61" s="17"/>
      <c r="AR61" s="26"/>
      <c r="AS61" s="26"/>
      <c r="AT61" s="27"/>
      <c r="AU61" s="17"/>
      <c r="AV61" s="17"/>
      <c r="AW61" s="17"/>
      <c r="AX61" s="17"/>
      <c r="AY61" s="26"/>
      <c r="AZ61" s="26"/>
      <c r="BA61" s="27"/>
      <c r="BB61" s="17"/>
      <c r="BC61" s="17"/>
      <c r="BD61" s="17"/>
      <c r="BE61" s="17"/>
      <c r="BF61" s="26"/>
      <c r="BG61" s="26"/>
      <c r="BH61" s="27"/>
      <c r="BI61" s="17"/>
      <c r="BJ61" s="17"/>
      <c r="BK61" s="17"/>
      <c r="BL61" s="17"/>
      <c r="BM61" s="26"/>
      <c r="BN61" s="26"/>
      <c r="BO61" s="27"/>
      <c r="BP61" s="17"/>
      <c r="BQ61" s="17"/>
      <c r="BR61" s="17"/>
      <c r="BS61" s="17"/>
      <c r="BT61" s="26"/>
      <c r="BU61" s="26"/>
      <c r="BV61" s="27"/>
      <c r="BW61" s="17"/>
      <c r="BX61" s="17"/>
      <c r="BY61" s="17"/>
      <c r="BZ61" s="17"/>
      <c r="CA61" s="26"/>
      <c r="CB61" s="26"/>
    </row>
    <row r="62" customFormat="false" ht="15" hidden="false" customHeight="true" outlineLevel="2" collapsed="false">
      <c r="A62" s="31" t="s">
        <v>202</v>
      </c>
      <c r="B62" s="16"/>
      <c r="C62" s="33" t="s">
        <v>203</v>
      </c>
      <c r="D62" s="17"/>
      <c r="E62" s="18" t="s">
        <v>204</v>
      </c>
      <c r="F62" s="19"/>
      <c r="G62" s="30" t="s">
        <v>205</v>
      </c>
      <c r="H62" s="21" t="s">
        <v>31</v>
      </c>
      <c r="I62" s="22" t="s">
        <v>54</v>
      </c>
      <c r="J62" s="19"/>
      <c r="K62" s="15" t="s">
        <v>99</v>
      </c>
      <c r="L62" s="23" t="n">
        <f aca="false">MAX(DATE(2026,10,28),IF(COUNT(O58)=0,0,MAX(O58)+1))</f>
        <v>46330</v>
      </c>
      <c r="M62" s="24" t="n">
        <v>3</v>
      </c>
      <c r="N62" s="23"/>
      <c r="O62" s="23" t="n">
        <f aca="false">IF(ISNUMBER(L62),L62+M62-1,"")</f>
        <v>46332</v>
      </c>
      <c r="P62" s="22" t="s">
        <v>41</v>
      </c>
      <c r="Q62" s="17"/>
      <c r="R62" s="27"/>
      <c r="S62" s="17"/>
      <c r="T62" s="17"/>
      <c r="U62" s="17"/>
      <c r="V62" s="17"/>
      <c r="W62" s="26"/>
      <c r="X62" s="26"/>
      <c r="Y62" s="27"/>
      <c r="Z62" s="17"/>
      <c r="AA62" s="17"/>
      <c r="AB62" s="17"/>
      <c r="AC62" s="17"/>
      <c r="AD62" s="26"/>
      <c r="AE62" s="26"/>
      <c r="AF62" s="27"/>
      <c r="AG62" s="17"/>
      <c r="AH62" s="28"/>
      <c r="AI62" s="17"/>
      <c r="AJ62" s="17"/>
      <c r="AK62" s="26"/>
      <c r="AL62" s="26"/>
      <c r="AM62" s="27"/>
      <c r="AN62" s="17"/>
      <c r="AO62" s="17"/>
      <c r="AP62" s="17"/>
      <c r="AQ62" s="17"/>
      <c r="AR62" s="26"/>
      <c r="AS62" s="26"/>
      <c r="AT62" s="27"/>
      <c r="AU62" s="17"/>
      <c r="AV62" s="17"/>
      <c r="AW62" s="17"/>
      <c r="AX62" s="17"/>
      <c r="AY62" s="26"/>
      <c r="AZ62" s="26"/>
      <c r="BA62" s="27"/>
      <c r="BB62" s="17"/>
      <c r="BC62" s="17"/>
      <c r="BD62" s="17"/>
      <c r="BE62" s="17"/>
      <c r="BF62" s="26"/>
      <c r="BG62" s="26"/>
      <c r="BH62" s="27"/>
      <c r="BI62" s="17"/>
      <c r="BJ62" s="17"/>
      <c r="BK62" s="17"/>
      <c r="BL62" s="17"/>
      <c r="BM62" s="26"/>
      <c r="BN62" s="26"/>
      <c r="BO62" s="27"/>
      <c r="BP62" s="17"/>
      <c r="BQ62" s="17"/>
      <c r="BR62" s="17"/>
      <c r="BS62" s="17"/>
      <c r="BT62" s="26"/>
      <c r="BU62" s="26"/>
      <c r="BV62" s="27"/>
      <c r="BW62" s="17"/>
      <c r="BX62" s="17"/>
      <c r="BY62" s="17"/>
      <c r="BZ62" s="17"/>
      <c r="CA62" s="26"/>
      <c r="CB62" s="26"/>
    </row>
    <row r="63" customFormat="false" ht="15" hidden="false" customHeight="true" outlineLevel="1" collapsed="false">
      <c r="A63" s="15" t="s">
        <v>206</v>
      </c>
      <c r="B63" s="32" t="s">
        <v>207</v>
      </c>
      <c r="C63" s="17"/>
      <c r="D63" s="17"/>
      <c r="E63" s="18" t="s">
        <v>208</v>
      </c>
      <c r="F63" s="19"/>
      <c r="G63" s="20" t="s">
        <v>30</v>
      </c>
      <c r="H63" s="21" t="s">
        <v>31</v>
      </c>
      <c r="I63" s="22" t="s">
        <v>103</v>
      </c>
      <c r="J63" s="19"/>
      <c r="K63" s="15" t="s">
        <v>99</v>
      </c>
      <c r="L63" s="23" t="n">
        <f aca="false">IF(COUNT(L64,L65)=0,"",MIN(L64,L65))</f>
        <v>46323</v>
      </c>
      <c r="M63" s="24" t="n">
        <f aca="false">IF(AND(ISNUMBER(L63),ISNUMBER(O63)),O63-L63+1,"")</f>
        <v>3</v>
      </c>
      <c r="N63" s="23"/>
      <c r="O63" s="23" t="n">
        <f aca="false">IF(COUNT(O64,O65)=0,"",MAX(O64,O65))</f>
        <v>46325</v>
      </c>
      <c r="P63" s="22"/>
      <c r="Q63" s="17"/>
      <c r="R63" s="27"/>
      <c r="S63" s="17"/>
      <c r="T63" s="17"/>
      <c r="U63" s="17"/>
      <c r="V63" s="17"/>
      <c r="W63" s="26"/>
      <c r="X63" s="26"/>
      <c r="Y63" s="27"/>
      <c r="Z63" s="17"/>
      <c r="AA63" s="17"/>
      <c r="AB63" s="17"/>
      <c r="AC63" s="17"/>
      <c r="AD63" s="26"/>
      <c r="AE63" s="26"/>
      <c r="AF63" s="27"/>
      <c r="AG63" s="17"/>
      <c r="AH63" s="28"/>
      <c r="AI63" s="17"/>
      <c r="AJ63" s="17"/>
      <c r="AK63" s="26"/>
      <c r="AL63" s="26"/>
      <c r="AM63" s="27"/>
      <c r="AN63" s="17"/>
      <c r="AO63" s="17"/>
      <c r="AP63" s="17"/>
      <c r="AQ63" s="17"/>
      <c r="AR63" s="26"/>
      <c r="AS63" s="26"/>
      <c r="AT63" s="27"/>
      <c r="AU63" s="17"/>
      <c r="AV63" s="17"/>
      <c r="AW63" s="17"/>
      <c r="AX63" s="17"/>
      <c r="AY63" s="26"/>
      <c r="AZ63" s="26"/>
      <c r="BA63" s="27"/>
      <c r="BB63" s="17"/>
      <c r="BC63" s="17"/>
      <c r="BD63" s="17"/>
      <c r="BE63" s="17"/>
      <c r="BF63" s="26"/>
      <c r="BG63" s="26"/>
      <c r="BH63" s="27"/>
      <c r="BI63" s="17"/>
      <c r="BJ63" s="17"/>
      <c r="BK63" s="17"/>
      <c r="BL63" s="17"/>
      <c r="BM63" s="26"/>
      <c r="BN63" s="26"/>
      <c r="BO63" s="27"/>
      <c r="BP63" s="17"/>
      <c r="BQ63" s="17"/>
      <c r="BR63" s="17"/>
      <c r="BS63" s="17"/>
      <c r="BT63" s="26"/>
      <c r="BU63" s="26"/>
      <c r="BV63" s="27"/>
      <c r="BW63" s="17"/>
      <c r="BX63" s="17"/>
      <c r="BY63" s="17"/>
      <c r="BZ63" s="17"/>
      <c r="CA63" s="26"/>
      <c r="CB63" s="26"/>
    </row>
    <row r="64" customFormat="false" ht="15" hidden="false" customHeight="true" outlineLevel="2" collapsed="false">
      <c r="A64" s="15" t="s">
        <v>209</v>
      </c>
      <c r="B64" s="16"/>
      <c r="C64" s="33" t="s">
        <v>210</v>
      </c>
      <c r="D64" s="17"/>
      <c r="E64" s="18" t="s">
        <v>211</v>
      </c>
      <c r="F64" s="19"/>
      <c r="G64" s="20" t="s">
        <v>30</v>
      </c>
      <c r="H64" s="21" t="s">
        <v>31</v>
      </c>
      <c r="I64" s="22" t="s">
        <v>103</v>
      </c>
      <c r="J64" s="19"/>
      <c r="K64" s="15" t="s">
        <v>99</v>
      </c>
      <c r="L64" s="23" t="n">
        <v>46323</v>
      </c>
      <c r="M64" s="24" t="n">
        <v>3</v>
      </c>
      <c r="N64" s="23"/>
      <c r="O64" s="23" t="n">
        <f aca="false">IF(ISNUMBER(L64),L64+M64-1,"")</f>
        <v>46325</v>
      </c>
      <c r="P64" s="22" t="s">
        <v>41</v>
      </c>
      <c r="Q64" s="17"/>
      <c r="R64" s="27"/>
      <c r="S64" s="17"/>
      <c r="T64" s="17"/>
      <c r="U64" s="17"/>
      <c r="V64" s="17"/>
      <c r="W64" s="26"/>
      <c r="X64" s="26"/>
      <c r="Y64" s="27"/>
      <c r="Z64" s="17"/>
      <c r="AA64" s="17"/>
      <c r="AB64" s="17"/>
      <c r="AC64" s="17"/>
      <c r="AD64" s="26"/>
      <c r="AE64" s="26"/>
      <c r="AF64" s="27"/>
      <c r="AG64" s="17"/>
      <c r="AH64" s="28"/>
      <c r="AI64" s="17"/>
      <c r="AJ64" s="17"/>
      <c r="AK64" s="26"/>
      <c r="AL64" s="26"/>
      <c r="AM64" s="27"/>
      <c r="AN64" s="17"/>
      <c r="AO64" s="17"/>
      <c r="AP64" s="17"/>
      <c r="AQ64" s="17"/>
      <c r="AR64" s="26"/>
      <c r="AS64" s="26"/>
      <c r="AT64" s="27"/>
      <c r="AU64" s="17"/>
      <c r="AV64" s="17"/>
      <c r="AW64" s="17"/>
      <c r="AX64" s="17"/>
      <c r="AY64" s="26"/>
      <c r="AZ64" s="26"/>
      <c r="BA64" s="27"/>
      <c r="BB64" s="17"/>
      <c r="BC64" s="17"/>
      <c r="BD64" s="17"/>
      <c r="BE64" s="17"/>
      <c r="BF64" s="26"/>
      <c r="BG64" s="26"/>
      <c r="BH64" s="27"/>
      <c r="BI64" s="17"/>
      <c r="BJ64" s="17"/>
      <c r="BK64" s="17"/>
      <c r="BL64" s="17"/>
      <c r="BM64" s="26"/>
      <c r="BN64" s="26"/>
      <c r="BO64" s="27"/>
      <c r="BP64" s="17"/>
      <c r="BQ64" s="17"/>
      <c r="BR64" s="17"/>
      <c r="BS64" s="17"/>
      <c r="BT64" s="26"/>
      <c r="BU64" s="26"/>
      <c r="BV64" s="27"/>
      <c r="BW64" s="17"/>
      <c r="BX64" s="17"/>
      <c r="BY64" s="17"/>
      <c r="BZ64" s="17"/>
      <c r="CA64" s="26"/>
      <c r="CB64" s="26"/>
    </row>
    <row r="65" customFormat="false" ht="15" hidden="false" customHeight="true" outlineLevel="2" collapsed="false">
      <c r="A65" s="15" t="s">
        <v>212</v>
      </c>
      <c r="B65" s="16"/>
      <c r="C65" s="33" t="s">
        <v>213</v>
      </c>
      <c r="D65" s="17"/>
      <c r="E65" s="18" t="s">
        <v>214</v>
      </c>
      <c r="F65" s="19"/>
      <c r="G65" s="20" t="s">
        <v>30</v>
      </c>
      <c r="H65" s="21" t="s">
        <v>31</v>
      </c>
      <c r="I65" s="22" t="s">
        <v>103</v>
      </c>
      <c r="J65" s="19"/>
      <c r="K65" s="15" t="s">
        <v>99</v>
      </c>
      <c r="L65" s="23" t="n">
        <v>46323</v>
      </c>
      <c r="M65" s="24" t="n">
        <v>3</v>
      </c>
      <c r="N65" s="23"/>
      <c r="O65" s="23" t="n">
        <f aca="false">IF(ISNUMBER(L65),L65+M65-1,"")</f>
        <v>46325</v>
      </c>
      <c r="P65" s="22" t="s">
        <v>41</v>
      </c>
      <c r="Q65" s="17"/>
      <c r="R65" s="27"/>
      <c r="S65" s="17"/>
      <c r="T65" s="17"/>
      <c r="U65" s="17"/>
      <c r="V65" s="17"/>
      <c r="W65" s="26"/>
      <c r="X65" s="26"/>
      <c r="Y65" s="27"/>
      <c r="Z65" s="17"/>
      <c r="AA65" s="17"/>
      <c r="AB65" s="17"/>
      <c r="AC65" s="17"/>
      <c r="AD65" s="26"/>
      <c r="AE65" s="26"/>
      <c r="AF65" s="27"/>
      <c r="AG65" s="17"/>
      <c r="AH65" s="28"/>
      <c r="AI65" s="17"/>
      <c r="AJ65" s="17"/>
      <c r="AK65" s="26"/>
      <c r="AL65" s="26"/>
      <c r="AM65" s="27"/>
      <c r="AN65" s="17"/>
      <c r="AO65" s="17"/>
      <c r="AP65" s="17"/>
      <c r="AQ65" s="17"/>
      <c r="AR65" s="26"/>
      <c r="AS65" s="26"/>
      <c r="AT65" s="27"/>
      <c r="AU65" s="17"/>
      <c r="AV65" s="17"/>
      <c r="AW65" s="17"/>
      <c r="AX65" s="17"/>
      <c r="AY65" s="26"/>
      <c r="AZ65" s="26"/>
      <c r="BA65" s="27"/>
      <c r="BB65" s="17"/>
      <c r="BC65" s="17"/>
      <c r="BD65" s="17"/>
      <c r="BE65" s="17"/>
      <c r="BF65" s="26"/>
      <c r="BG65" s="26"/>
      <c r="BH65" s="27"/>
      <c r="BI65" s="17"/>
      <c r="BJ65" s="17"/>
      <c r="BK65" s="17"/>
      <c r="BL65" s="17"/>
      <c r="BM65" s="26"/>
      <c r="BN65" s="26"/>
      <c r="BO65" s="27"/>
      <c r="BP65" s="17"/>
      <c r="BQ65" s="17"/>
      <c r="BR65" s="17"/>
      <c r="BS65" s="17"/>
      <c r="BT65" s="26"/>
      <c r="BU65" s="26"/>
      <c r="BV65" s="27"/>
      <c r="BW65" s="17"/>
      <c r="BX65" s="17"/>
      <c r="BY65" s="17"/>
      <c r="BZ65" s="17"/>
      <c r="CA65" s="26"/>
      <c r="CB65" s="26"/>
    </row>
    <row r="66" customFormat="false" ht="15" hidden="false" customHeight="true" outlineLevel="1" collapsed="false">
      <c r="A66" s="31" t="s">
        <v>215</v>
      </c>
      <c r="B66" s="16" t="s">
        <v>216</v>
      </c>
      <c r="C66" s="17"/>
      <c r="D66" s="17"/>
      <c r="E66" s="18" t="s">
        <v>217</v>
      </c>
      <c r="F66" s="19"/>
      <c r="G66" s="20" t="s">
        <v>30</v>
      </c>
      <c r="H66" s="21" t="s">
        <v>31</v>
      </c>
      <c r="I66" s="22" t="s">
        <v>103</v>
      </c>
      <c r="J66" s="19"/>
      <c r="K66" s="15" t="s">
        <v>99</v>
      </c>
      <c r="L66" s="23" t="n">
        <v>46321</v>
      </c>
      <c r="M66" s="24" t="n">
        <v>9</v>
      </c>
      <c r="N66" s="23"/>
      <c r="O66" s="23" t="n">
        <f aca="false">IF(ISNUMBER(L66),L66+M66-1,"")</f>
        <v>46329</v>
      </c>
      <c r="P66" s="22" t="s">
        <v>41</v>
      </c>
      <c r="Q66" s="17"/>
      <c r="R66" s="27"/>
      <c r="S66" s="17"/>
      <c r="T66" s="17"/>
      <c r="U66" s="17"/>
      <c r="V66" s="17"/>
      <c r="W66" s="26"/>
      <c r="X66" s="26"/>
      <c r="Y66" s="27"/>
      <c r="Z66" s="17"/>
      <c r="AA66" s="17"/>
      <c r="AB66" s="17"/>
      <c r="AC66" s="17"/>
      <c r="AD66" s="26"/>
      <c r="AE66" s="26"/>
      <c r="AF66" s="27"/>
      <c r="AG66" s="17"/>
      <c r="AH66" s="28"/>
      <c r="AI66" s="17"/>
      <c r="AJ66" s="17"/>
      <c r="AK66" s="26"/>
      <c r="AL66" s="26"/>
      <c r="AM66" s="27"/>
      <c r="AN66" s="17"/>
      <c r="AO66" s="17"/>
      <c r="AP66" s="17"/>
      <c r="AQ66" s="17"/>
      <c r="AR66" s="26"/>
      <c r="AS66" s="26"/>
      <c r="AT66" s="27"/>
      <c r="AU66" s="17"/>
      <c r="AV66" s="17"/>
      <c r="AW66" s="17"/>
      <c r="AX66" s="17"/>
      <c r="AY66" s="26"/>
      <c r="AZ66" s="26"/>
      <c r="BA66" s="27"/>
      <c r="BB66" s="17"/>
      <c r="BC66" s="17"/>
      <c r="BD66" s="17"/>
      <c r="BE66" s="17"/>
      <c r="BF66" s="26"/>
      <c r="BG66" s="26"/>
      <c r="BH66" s="27"/>
      <c r="BI66" s="17"/>
      <c r="BJ66" s="17"/>
      <c r="BK66" s="17"/>
      <c r="BL66" s="17"/>
      <c r="BM66" s="26"/>
      <c r="BN66" s="26"/>
      <c r="BO66" s="27"/>
      <c r="BP66" s="17"/>
      <c r="BQ66" s="17"/>
      <c r="BR66" s="17"/>
      <c r="BS66" s="17"/>
      <c r="BT66" s="26"/>
      <c r="BU66" s="26"/>
      <c r="BV66" s="27"/>
      <c r="BW66" s="17"/>
      <c r="BX66" s="17"/>
      <c r="BY66" s="17"/>
      <c r="BZ66" s="17"/>
      <c r="CA66" s="26"/>
      <c r="CB66" s="26"/>
    </row>
    <row r="67" customFormat="false" ht="15" hidden="false" customHeight="true" outlineLevel="0" collapsed="false">
      <c r="A67" s="35" t="s">
        <v>69</v>
      </c>
      <c r="B67" s="36" t="s">
        <v>218</v>
      </c>
      <c r="C67" s="37"/>
      <c r="D67" s="37"/>
      <c r="E67" s="38"/>
      <c r="F67" s="38"/>
      <c r="G67" s="38"/>
      <c r="H67" s="38"/>
      <c r="I67" s="38"/>
      <c r="J67" s="38"/>
      <c r="K67" s="15" t="s">
        <v>99</v>
      </c>
      <c r="L67" s="39" t="n">
        <v>46329</v>
      </c>
      <c r="M67" s="38"/>
      <c r="N67" s="38"/>
      <c r="O67" s="39" t="n">
        <v>46329</v>
      </c>
      <c r="P67" s="40" t="s">
        <v>34</v>
      </c>
      <c r="Q67" s="17"/>
      <c r="R67" s="41" t="str">
        <f aca="false">IF(R$4=$L67,"◆","")</f>
        <v/>
      </c>
      <c r="S67" s="35" t="str">
        <f aca="false">IF(S$4=$L67,"◆","")</f>
        <v/>
      </c>
      <c r="T67" s="35" t="str">
        <f aca="false">IF(T$4=$L67,"◆","")</f>
        <v/>
      </c>
      <c r="U67" s="35" t="str">
        <f aca="false">IF(U$4=$L67,"◆","")</f>
        <v/>
      </c>
      <c r="V67" s="35" t="str">
        <f aca="false">IF(V$4=$L67,"◆","")</f>
        <v/>
      </c>
      <c r="W67" s="42" t="str">
        <f aca="false">IF(W$4=$L67,"◆","")</f>
        <v/>
      </c>
      <c r="X67" s="42" t="str">
        <f aca="false">IF(X$4=$L67,"◆","")</f>
        <v/>
      </c>
      <c r="Y67" s="41" t="str">
        <f aca="false">IF(Y$4=$L67,"◆","")</f>
        <v/>
      </c>
      <c r="Z67" s="35" t="str">
        <f aca="false">IF(Z$4=$L67,"◆","")</f>
        <v/>
      </c>
      <c r="AA67" s="35" t="str">
        <f aca="false">IF(AA$4=$L67,"◆","")</f>
        <v/>
      </c>
      <c r="AB67" s="35" t="str">
        <f aca="false">IF(AB$4=$L67,"◆","")</f>
        <v/>
      </c>
      <c r="AC67" s="35" t="str">
        <f aca="false">IF(AC$4=$L67,"◆","")</f>
        <v/>
      </c>
      <c r="AD67" s="42" t="str">
        <f aca="false">IF(AD$4=$L67,"◆","")</f>
        <v/>
      </c>
      <c r="AE67" s="42" t="str">
        <f aca="false">IF(AE$4=$L67,"◆","")</f>
        <v/>
      </c>
      <c r="AF67" s="41" t="str">
        <f aca="false">IF(AF$4=$L67,"◆","")</f>
        <v/>
      </c>
      <c r="AG67" s="35" t="str">
        <f aca="false">IF(AG$4=$L67,"◆","")</f>
        <v>◆</v>
      </c>
      <c r="AH67" s="43" t="str">
        <f aca="false">IF(AH$4=$L67,"◆","")</f>
        <v/>
      </c>
      <c r="AI67" s="35" t="str">
        <f aca="false">IF(AI$4=$L67,"◆","")</f>
        <v/>
      </c>
      <c r="AJ67" s="35" t="str">
        <f aca="false">IF(AJ$4=$L67,"◆","")</f>
        <v/>
      </c>
      <c r="AK67" s="42" t="str">
        <f aca="false">IF(AK$4=$L67,"◆","")</f>
        <v/>
      </c>
      <c r="AL67" s="42" t="str">
        <f aca="false">IF(AL$4=$L67,"◆","")</f>
        <v/>
      </c>
      <c r="AM67" s="41" t="str">
        <f aca="false">IF(AM$4=$L67,"◆","")</f>
        <v/>
      </c>
      <c r="AN67" s="35" t="str">
        <f aca="false">IF(AN$4=$L67,"◆","")</f>
        <v/>
      </c>
      <c r="AO67" s="35" t="str">
        <f aca="false">IF(AO$4=$L67,"◆","")</f>
        <v/>
      </c>
      <c r="AP67" s="35" t="str">
        <f aca="false">IF(AP$4=$L67,"◆","")</f>
        <v/>
      </c>
      <c r="AQ67" s="35" t="str">
        <f aca="false">IF(AQ$4=$L67,"◆","")</f>
        <v/>
      </c>
      <c r="AR67" s="42" t="str">
        <f aca="false">IF(AR$4=$L67,"◆","")</f>
        <v/>
      </c>
      <c r="AS67" s="42" t="str">
        <f aca="false">IF(AS$4=$L67,"◆","")</f>
        <v/>
      </c>
      <c r="AT67" s="41" t="str">
        <f aca="false">IF(AT$4=$L67,"◆","")</f>
        <v/>
      </c>
      <c r="AU67" s="35" t="str">
        <f aca="false">IF(AU$4=$L67,"◆","")</f>
        <v/>
      </c>
      <c r="AV67" s="35" t="str">
        <f aca="false">IF(AV$4=$L67,"◆","")</f>
        <v/>
      </c>
      <c r="AW67" s="35" t="str">
        <f aca="false">IF(AW$4=$L67,"◆","")</f>
        <v/>
      </c>
      <c r="AX67" s="35" t="str">
        <f aca="false">IF(AX$4=$L67,"◆","")</f>
        <v/>
      </c>
      <c r="AY67" s="42" t="str">
        <f aca="false">IF(AY$4=$L67,"◆","")</f>
        <v/>
      </c>
      <c r="AZ67" s="42" t="str">
        <f aca="false">IF(AZ$4=$L67,"◆","")</f>
        <v/>
      </c>
      <c r="BA67" s="41" t="str">
        <f aca="false">IF(BA$4=$L67,"◆","")</f>
        <v/>
      </c>
      <c r="BB67" s="35" t="str">
        <f aca="false">IF(BB$4=$L67,"◆","")</f>
        <v/>
      </c>
      <c r="BC67" s="35" t="str">
        <f aca="false">IF(BC$4=$L67,"◆","")</f>
        <v/>
      </c>
      <c r="BD67" s="35" t="str">
        <f aca="false">IF(BD$4=$L67,"◆","")</f>
        <v/>
      </c>
      <c r="BE67" s="35" t="str">
        <f aca="false">IF(BE$4=$L67,"◆","")</f>
        <v/>
      </c>
      <c r="BF67" s="42" t="str">
        <f aca="false">IF(BF$4=$L67,"◆","")</f>
        <v/>
      </c>
      <c r="BG67" s="42" t="str">
        <f aca="false">IF(BG$4=$L67,"◆","")</f>
        <v/>
      </c>
      <c r="BH67" s="41" t="str">
        <f aca="false">IF(BH$4=$L67,"◆","")</f>
        <v/>
      </c>
      <c r="BI67" s="35" t="str">
        <f aca="false">IF(BI$4=$L67,"◆","")</f>
        <v/>
      </c>
      <c r="BJ67" s="35" t="str">
        <f aca="false">IF(BJ$4=$L67,"◆","")</f>
        <v/>
      </c>
      <c r="BK67" s="35" t="str">
        <f aca="false">IF(BK$4=$L67,"◆","")</f>
        <v/>
      </c>
      <c r="BL67" s="35" t="str">
        <f aca="false">IF(BL$4=$L67,"◆","")</f>
        <v/>
      </c>
      <c r="BM67" s="42" t="str">
        <f aca="false">IF(BM$4=$L67,"◆","")</f>
        <v/>
      </c>
      <c r="BN67" s="42" t="str">
        <f aca="false">IF(BN$4=$L67,"◆","")</f>
        <v/>
      </c>
      <c r="BO67" s="41" t="str">
        <f aca="false">IF(BO$4=$L67,"◆","")</f>
        <v/>
      </c>
      <c r="BP67" s="35" t="str">
        <f aca="false">IF(BP$4=$L67,"◆","")</f>
        <v/>
      </c>
      <c r="BQ67" s="35" t="str">
        <f aca="false">IF(BQ$4=$L67,"◆","")</f>
        <v/>
      </c>
      <c r="BR67" s="35" t="str">
        <f aca="false">IF(BR$4=$L67,"◆","")</f>
        <v/>
      </c>
      <c r="BS67" s="35" t="str">
        <f aca="false">IF(BS$4=$L67,"◆","")</f>
        <v/>
      </c>
      <c r="BT67" s="42" t="str">
        <f aca="false">IF(BT$4=$L67,"◆","")</f>
        <v/>
      </c>
      <c r="BU67" s="42" t="str">
        <f aca="false">IF(BU$4=$L67,"◆","")</f>
        <v/>
      </c>
      <c r="BV67" s="41" t="str">
        <f aca="false">IF(BV$4=$L67,"◆","")</f>
        <v/>
      </c>
      <c r="BW67" s="35" t="str">
        <f aca="false">IF(BW$4=$L67,"◆","")</f>
        <v/>
      </c>
      <c r="BX67" s="35" t="str">
        <f aca="false">IF(BX$4=$L67,"◆","")</f>
        <v/>
      </c>
      <c r="BY67" s="35" t="str">
        <f aca="false">IF(BY$4=$L67,"◆","")</f>
        <v/>
      </c>
      <c r="BZ67" s="35" t="str">
        <f aca="false">IF(BZ$4=$L67,"◆","")</f>
        <v/>
      </c>
      <c r="CA67" s="42" t="str">
        <f aca="false">IF(CA$4=$L67,"◆","")</f>
        <v/>
      </c>
      <c r="CB67" s="42" t="str">
        <f aca="false">IF(CB$4=$L67,"◆","")</f>
        <v/>
      </c>
    </row>
    <row r="68" customFormat="false" ht="3.75" hidden="false" customHeight="true" outlineLevel="0" collapsed="false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</row>
    <row r="69" customFormat="false" ht="18" hidden="false" customHeight="true" outlineLevel="0" collapsed="false">
      <c r="A69" s="13" t="s">
        <v>219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</row>
    <row r="70" customFormat="false" ht="15" hidden="false" customHeight="true" outlineLevel="0" collapsed="false">
      <c r="A70" s="35" t="s">
        <v>69</v>
      </c>
      <c r="B70" s="36" t="s">
        <v>220</v>
      </c>
      <c r="C70" s="37"/>
      <c r="D70" s="37"/>
      <c r="E70" s="38"/>
      <c r="F70" s="38"/>
      <c r="G70" s="38"/>
      <c r="H70" s="38"/>
      <c r="I70" s="38"/>
      <c r="J70" s="38"/>
      <c r="K70" s="15" t="s">
        <v>221</v>
      </c>
      <c r="L70" s="45" t="n">
        <v>46330</v>
      </c>
      <c r="M70" s="38"/>
      <c r="N70" s="38"/>
      <c r="O70" s="45" t="n">
        <v>46330</v>
      </c>
      <c r="P70" s="46" t="s">
        <v>41</v>
      </c>
      <c r="Q70" s="17"/>
      <c r="R70" s="41" t="str">
        <f aca="false">IF(R$4=$L70,"◆","")</f>
        <v/>
      </c>
      <c r="S70" s="35" t="str">
        <f aca="false">IF(S$4=$L70,"◆","")</f>
        <v/>
      </c>
      <c r="T70" s="35" t="str">
        <f aca="false">IF(T$4=$L70,"◆","")</f>
        <v/>
      </c>
      <c r="U70" s="35" t="str">
        <f aca="false">IF(U$4=$L70,"◆","")</f>
        <v/>
      </c>
      <c r="V70" s="35" t="str">
        <f aca="false">IF(V$4=$L70,"◆","")</f>
        <v/>
      </c>
      <c r="W70" s="42" t="str">
        <f aca="false">IF(W$4=$L70,"◆","")</f>
        <v/>
      </c>
      <c r="X70" s="42" t="str">
        <f aca="false">IF(X$4=$L70,"◆","")</f>
        <v/>
      </c>
      <c r="Y70" s="41" t="str">
        <f aca="false">IF(Y$4=$L70,"◆","")</f>
        <v/>
      </c>
      <c r="Z70" s="35" t="str">
        <f aca="false">IF(Z$4=$L70,"◆","")</f>
        <v/>
      </c>
      <c r="AA70" s="35" t="str">
        <f aca="false">IF(AA$4=$L70,"◆","")</f>
        <v/>
      </c>
      <c r="AB70" s="35" t="str">
        <f aca="false">IF(AB$4=$L70,"◆","")</f>
        <v/>
      </c>
      <c r="AC70" s="35" t="str">
        <f aca="false">IF(AC$4=$L70,"◆","")</f>
        <v/>
      </c>
      <c r="AD70" s="42" t="str">
        <f aca="false">IF(AD$4=$L70,"◆","")</f>
        <v/>
      </c>
      <c r="AE70" s="42" t="str">
        <f aca="false">IF(AE$4=$L70,"◆","")</f>
        <v/>
      </c>
      <c r="AF70" s="41" t="str">
        <f aca="false">IF(AF$4=$L70,"◆","")</f>
        <v/>
      </c>
      <c r="AG70" s="35" t="str">
        <f aca="false">IF(AG$4=$L70,"◆","")</f>
        <v/>
      </c>
      <c r="AH70" s="43" t="str">
        <f aca="false">IF(AH$4=$L70,"◆","")</f>
        <v>◆</v>
      </c>
      <c r="AI70" s="35" t="str">
        <f aca="false">IF(AI$4=$L70,"◆","")</f>
        <v/>
      </c>
      <c r="AJ70" s="35" t="str">
        <f aca="false">IF(AJ$4=$L70,"◆","")</f>
        <v/>
      </c>
      <c r="AK70" s="42" t="str">
        <f aca="false">IF(AK$4=$L70,"◆","")</f>
        <v/>
      </c>
      <c r="AL70" s="42" t="str">
        <f aca="false">IF(AL$4=$L70,"◆","")</f>
        <v/>
      </c>
      <c r="AM70" s="41" t="str">
        <f aca="false">IF(AM$4=$L70,"◆","")</f>
        <v/>
      </c>
      <c r="AN70" s="35" t="str">
        <f aca="false">IF(AN$4=$L70,"◆","")</f>
        <v/>
      </c>
      <c r="AO70" s="35" t="str">
        <f aca="false">IF(AO$4=$L70,"◆","")</f>
        <v/>
      </c>
      <c r="AP70" s="35" t="str">
        <f aca="false">IF(AP$4=$L70,"◆","")</f>
        <v/>
      </c>
      <c r="AQ70" s="35" t="str">
        <f aca="false">IF(AQ$4=$L70,"◆","")</f>
        <v/>
      </c>
      <c r="AR70" s="42" t="str">
        <f aca="false">IF(AR$4=$L70,"◆","")</f>
        <v/>
      </c>
      <c r="AS70" s="42" t="str">
        <f aca="false">IF(AS$4=$L70,"◆","")</f>
        <v/>
      </c>
      <c r="AT70" s="41" t="str">
        <f aca="false">IF(AT$4=$L70,"◆","")</f>
        <v/>
      </c>
      <c r="AU70" s="35" t="str">
        <f aca="false">IF(AU$4=$L70,"◆","")</f>
        <v/>
      </c>
      <c r="AV70" s="35" t="str">
        <f aca="false">IF(AV$4=$L70,"◆","")</f>
        <v/>
      </c>
      <c r="AW70" s="35" t="str">
        <f aca="false">IF(AW$4=$L70,"◆","")</f>
        <v/>
      </c>
      <c r="AX70" s="35" t="str">
        <f aca="false">IF(AX$4=$L70,"◆","")</f>
        <v/>
      </c>
      <c r="AY70" s="42" t="str">
        <f aca="false">IF(AY$4=$L70,"◆","")</f>
        <v/>
      </c>
      <c r="AZ70" s="42" t="str">
        <f aca="false">IF(AZ$4=$L70,"◆","")</f>
        <v/>
      </c>
      <c r="BA70" s="41" t="str">
        <f aca="false">IF(BA$4=$L70,"◆","")</f>
        <v/>
      </c>
      <c r="BB70" s="35" t="str">
        <f aca="false">IF(BB$4=$L70,"◆","")</f>
        <v/>
      </c>
      <c r="BC70" s="35" t="str">
        <f aca="false">IF(BC$4=$L70,"◆","")</f>
        <v/>
      </c>
      <c r="BD70" s="35" t="str">
        <f aca="false">IF(BD$4=$L70,"◆","")</f>
        <v/>
      </c>
      <c r="BE70" s="35" t="str">
        <f aca="false">IF(BE$4=$L70,"◆","")</f>
        <v/>
      </c>
      <c r="BF70" s="42" t="str">
        <f aca="false">IF(BF$4=$L70,"◆","")</f>
        <v/>
      </c>
      <c r="BG70" s="42" t="str">
        <f aca="false">IF(BG$4=$L70,"◆","")</f>
        <v/>
      </c>
      <c r="BH70" s="41" t="str">
        <f aca="false">IF(BH$4=$L70,"◆","")</f>
        <v/>
      </c>
      <c r="BI70" s="35" t="str">
        <f aca="false">IF(BI$4=$L70,"◆","")</f>
        <v/>
      </c>
      <c r="BJ70" s="35" t="str">
        <f aca="false">IF(BJ$4=$L70,"◆","")</f>
        <v/>
      </c>
      <c r="BK70" s="35" t="str">
        <f aca="false">IF(BK$4=$L70,"◆","")</f>
        <v/>
      </c>
      <c r="BL70" s="35" t="str">
        <f aca="false">IF(BL$4=$L70,"◆","")</f>
        <v/>
      </c>
      <c r="BM70" s="42" t="str">
        <f aca="false">IF(BM$4=$L70,"◆","")</f>
        <v/>
      </c>
      <c r="BN70" s="42" t="str">
        <f aca="false">IF(BN$4=$L70,"◆","")</f>
        <v/>
      </c>
      <c r="BO70" s="41" t="str">
        <f aca="false">IF(BO$4=$L70,"◆","")</f>
        <v/>
      </c>
      <c r="BP70" s="35" t="str">
        <f aca="false">IF(BP$4=$L70,"◆","")</f>
        <v/>
      </c>
      <c r="BQ70" s="35" t="str">
        <f aca="false">IF(BQ$4=$L70,"◆","")</f>
        <v/>
      </c>
      <c r="BR70" s="35" t="str">
        <f aca="false">IF(BR$4=$L70,"◆","")</f>
        <v/>
      </c>
      <c r="BS70" s="35" t="str">
        <f aca="false">IF(BS$4=$L70,"◆","")</f>
        <v/>
      </c>
      <c r="BT70" s="42" t="str">
        <f aca="false">IF(BT$4=$L70,"◆","")</f>
        <v/>
      </c>
      <c r="BU70" s="42" t="str">
        <f aca="false">IF(BU$4=$L70,"◆","")</f>
        <v/>
      </c>
      <c r="BV70" s="41" t="str">
        <f aca="false">IF(BV$4=$L70,"◆","")</f>
        <v/>
      </c>
      <c r="BW70" s="35" t="str">
        <f aca="false">IF(BW$4=$L70,"◆","")</f>
        <v/>
      </c>
      <c r="BX70" s="35" t="str">
        <f aca="false">IF(BX$4=$L70,"◆","")</f>
        <v/>
      </c>
      <c r="BY70" s="35" t="str">
        <f aca="false">IF(BY$4=$L70,"◆","")</f>
        <v/>
      </c>
      <c r="BZ70" s="35" t="str">
        <f aca="false">IF(BZ$4=$L70,"◆","")</f>
        <v/>
      </c>
      <c r="CA70" s="42" t="str">
        <f aca="false">IF(CA$4=$L70,"◆","")</f>
        <v/>
      </c>
      <c r="CB70" s="42" t="str">
        <f aca="false">IF(CB$4=$L70,"◆","")</f>
        <v/>
      </c>
    </row>
    <row r="71" customFormat="false" ht="15" hidden="false" customHeight="true" outlineLevel="1" collapsed="false">
      <c r="A71" s="31" t="s">
        <v>222</v>
      </c>
      <c r="B71" s="32" t="s">
        <v>223</v>
      </c>
      <c r="C71" s="17"/>
      <c r="D71" s="17"/>
      <c r="E71" s="18" t="s">
        <v>224</v>
      </c>
      <c r="F71" s="19"/>
      <c r="G71" s="20" t="s">
        <v>30</v>
      </c>
      <c r="H71" s="21" t="s">
        <v>31</v>
      </c>
      <c r="I71" s="22" t="s">
        <v>54</v>
      </c>
      <c r="J71" s="19"/>
      <c r="K71" s="15" t="s">
        <v>221</v>
      </c>
      <c r="L71" s="23" t="n">
        <f aca="false">IF(COUNT(L72,L73,L74)=0,"",MIN(L72,L73,L74))</f>
        <v>46321</v>
      </c>
      <c r="M71" s="24" t="n">
        <f aca="false">IF(AND(ISNUMBER(L71),ISNUMBER(O71)),O71-L71+1,"")</f>
        <v>10</v>
      </c>
      <c r="N71" s="23"/>
      <c r="O71" s="23" t="n">
        <f aca="false">IF(COUNT(O72,O73,O74)=0,"",MAX(O72,O73,O74))</f>
        <v>46330</v>
      </c>
      <c r="P71" s="22"/>
      <c r="Q71" s="17"/>
      <c r="R71" s="27"/>
      <c r="S71" s="17"/>
      <c r="T71" s="17"/>
      <c r="U71" s="17"/>
      <c r="V71" s="17"/>
      <c r="W71" s="26"/>
      <c r="X71" s="26"/>
      <c r="Y71" s="27"/>
      <c r="Z71" s="17"/>
      <c r="AA71" s="17"/>
      <c r="AB71" s="17"/>
      <c r="AC71" s="17"/>
      <c r="AD71" s="26"/>
      <c r="AE71" s="26"/>
      <c r="AF71" s="27"/>
      <c r="AG71" s="17"/>
      <c r="AH71" s="28"/>
      <c r="AI71" s="17"/>
      <c r="AJ71" s="17"/>
      <c r="AK71" s="26"/>
      <c r="AL71" s="26"/>
      <c r="AM71" s="27"/>
      <c r="AN71" s="17"/>
      <c r="AO71" s="17"/>
      <c r="AP71" s="17"/>
      <c r="AQ71" s="17"/>
      <c r="AR71" s="26"/>
      <c r="AS71" s="26"/>
      <c r="AT71" s="27"/>
      <c r="AU71" s="17"/>
      <c r="AV71" s="17"/>
      <c r="AW71" s="17"/>
      <c r="AX71" s="17"/>
      <c r="AY71" s="26"/>
      <c r="AZ71" s="26"/>
      <c r="BA71" s="27"/>
      <c r="BB71" s="17"/>
      <c r="BC71" s="17"/>
      <c r="BD71" s="17"/>
      <c r="BE71" s="17"/>
      <c r="BF71" s="26"/>
      <c r="BG71" s="26"/>
      <c r="BH71" s="27"/>
      <c r="BI71" s="17"/>
      <c r="BJ71" s="17"/>
      <c r="BK71" s="17"/>
      <c r="BL71" s="17"/>
      <c r="BM71" s="26"/>
      <c r="BN71" s="26"/>
      <c r="BO71" s="27"/>
      <c r="BP71" s="17"/>
      <c r="BQ71" s="17"/>
      <c r="BR71" s="17"/>
      <c r="BS71" s="17"/>
      <c r="BT71" s="26"/>
      <c r="BU71" s="26"/>
      <c r="BV71" s="27"/>
      <c r="BW71" s="17"/>
      <c r="BX71" s="17"/>
      <c r="BY71" s="17"/>
      <c r="BZ71" s="17"/>
      <c r="CA71" s="26"/>
      <c r="CB71" s="26"/>
    </row>
    <row r="72" customFormat="false" ht="15" hidden="false" customHeight="true" outlineLevel="2" collapsed="false">
      <c r="A72" s="15" t="s">
        <v>225</v>
      </c>
      <c r="B72" s="16"/>
      <c r="C72" s="33" t="s">
        <v>226</v>
      </c>
      <c r="D72" s="17"/>
      <c r="E72" s="18" t="s">
        <v>227</v>
      </c>
      <c r="F72" s="19"/>
      <c r="G72" s="20" t="s">
        <v>30</v>
      </c>
      <c r="H72" s="21" t="s">
        <v>228</v>
      </c>
      <c r="I72" s="22" t="s">
        <v>32</v>
      </c>
      <c r="J72" s="19"/>
      <c r="K72" s="15" t="s">
        <v>221</v>
      </c>
      <c r="L72" s="23" t="n">
        <v>46321</v>
      </c>
      <c r="M72" s="24" t="n">
        <v>1</v>
      </c>
      <c r="N72" s="23"/>
      <c r="O72" s="23" t="n">
        <f aca="false">IF(ISNUMBER(L72),L72+M72-1,"")</f>
        <v>46321</v>
      </c>
      <c r="P72" s="22" t="s">
        <v>41</v>
      </c>
      <c r="Q72" s="17"/>
      <c r="R72" s="25" t="s">
        <v>229</v>
      </c>
      <c r="S72" s="17"/>
      <c r="T72" s="17"/>
      <c r="U72" s="17"/>
      <c r="V72" s="17"/>
      <c r="W72" s="26"/>
      <c r="X72" s="26"/>
      <c r="Y72" s="27"/>
      <c r="Z72" s="17"/>
      <c r="AA72" s="17"/>
      <c r="AB72" s="17"/>
      <c r="AC72" s="17"/>
      <c r="AD72" s="26"/>
      <c r="AE72" s="26"/>
      <c r="AF72" s="27"/>
      <c r="AG72" s="17"/>
      <c r="AH72" s="28"/>
      <c r="AI72" s="17"/>
      <c r="AJ72" s="17"/>
      <c r="AK72" s="26"/>
      <c r="AL72" s="26"/>
      <c r="AM72" s="27"/>
      <c r="AN72" s="17"/>
      <c r="AO72" s="17"/>
      <c r="AP72" s="17"/>
      <c r="AQ72" s="17"/>
      <c r="AR72" s="26"/>
      <c r="AS72" s="26"/>
      <c r="AT72" s="27"/>
      <c r="AU72" s="17"/>
      <c r="AV72" s="17"/>
      <c r="AW72" s="17"/>
      <c r="AX72" s="17"/>
      <c r="AY72" s="26"/>
      <c r="AZ72" s="26"/>
      <c r="BA72" s="27"/>
      <c r="BB72" s="17"/>
      <c r="BC72" s="17"/>
      <c r="BD72" s="17"/>
      <c r="BE72" s="17"/>
      <c r="BF72" s="26"/>
      <c r="BG72" s="26"/>
      <c r="BH72" s="27"/>
      <c r="BI72" s="17"/>
      <c r="BJ72" s="17"/>
      <c r="BK72" s="17"/>
      <c r="BL72" s="17"/>
      <c r="BM72" s="26"/>
      <c r="BN72" s="26"/>
      <c r="BO72" s="27"/>
      <c r="BP72" s="17"/>
      <c r="BQ72" s="17"/>
      <c r="BR72" s="17"/>
      <c r="BS72" s="17"/>
      <c r="BT72" s="26"/>
      <c r="BU72" s="26"/>
      <c r="BV72" s="27"/>
      <c r="BW72" s="17"/>
      <c r="BX72" s="17"/>
      <c r="BY72" s="17"/>
      <c r="BZ72" s="17"/>
      <c r="CA72" s="26"/>
      <c r="CB72" s="26"/>
    </row>
    <row r="73" customFormat="false" ht="15" hidden="false" customHeight="true" outlineLevel="2" collapsed="false">
      <c r="A73" s="15" t="s">
        <v>230</v>
      </c>
      <c r="B73" s="16"/>
      <c r="C73" s="33" t="s">
        <v>231</v>
      </c>
      <c r="D73" s="17"/>
      <c r="E73" s="18" t="s">
        <v>232</v>
      </c>
      <c r="F73" s="19"/>
      <c r="G73" s="20" t="s">
        <v>30</v>
      </c>
      <c r="H73" s="21" t="s">
        <v>132</v>
      </c>
      <c r="I73" s="22" t="s">
        <v>54</v>
      </c>
      <c r="J73" s="19"/>
      <c r="K73" s="15" t="s">
        <v>221</v>
      </c>
      <c r="L73" s="23"/>
      <c r="M73" s="24"/>
      <c r="N73" s="23"/>
      <c r="O73" s="23"/>
      <c r="P73" s="22" t="s">
        <v>233</v>
      </c>
      <c r="Q73" s="17"/>
      <c r="R73" s="25" t="s">
        <v>234</v>
      </c>
      <c r="S73" s="17"/>
      <c r="T73" s="17"/>
      <c r="U73" s="17"/>
      <c r="V73" s="17"/>
      <c r="W73" s="26"/>
      <c r="X73" s="26"/>
      <c r="Y73" s="27"/>
      <c r="Z73" s="17"/>
      <c r="AA73" s="17"/>
      <c r="AB73" s="17"/>
      <c r="AC73" s="17"/>
      <c r="AD73" s="26"/>
      <c r="AE73" s="26"/>
      <c r="AF73" s="27"/>
      <c r="AG73" s="17"/>
      <c r="AH73" s="28"/>
      <c r="AI73" s="17"/>
      <c r="AJ73" s="17"/>
      <c r="AK73" s="26"/>
      <c r="AL73" s="26"/>
      <c r="AM73" s="27"/>
      <c r="AN73" s="17"/>
      <c r="AO73" s="17"/>
      <c r="AP73" s="17"/>
      <c r="AQ73" s="17"/>
      <c r="AR73" s="26"/>
      <c r="AS73" s="26"/>
      <c r="AT73" s="27"/>
      <c r="AU73" s="17"/>
      <c r="AV73" s="17"/>
      <c r="AW73" s="17"/>
      <c r="AX73" s="17"/>
      <c r="AY73" s="26"/>
      <c r="AZ73" s="26"/>
      <c r="BA73" s="27"/>
      <c r="BB73" s="17"/>
      <c r="BC73" s="17"/>
      <c r="BD73" s="17"/>
      <c r="BE73" s="17"/>
      <c r="BF73" s="26"/>
      <c r="BG73" s="26"/>
      <c r="BH73" s="27"/>
      <c r="BI73" s="17"/>
      <c r="BJ73" s="17"/>
      <c r="BK73" s="17"/>
      <c r="BL73" s="17"/>
      <c r="BM73" s="26"/>
      <c r="BN73" s="26"/>
      <c r="BO73" s="27"/>
      <c r="BP73" s="17"/>
      <c r="BQ73" s="17"/>
      <c r="BR73" s="17"/>
      <c r="BS73" s="17"/>
      <c r="BT73" s="26"/>
      <c r="BU73" s="26"/>
      <c r="BV73" s="27"/>
      <c r="BW73" s="17"/>
      <c r="BX73" s="17"/>
      <c r="BY73" s="17"/>
      <c r="BZ73" s="17"/>
      <c r="CA73" s="26"/>
      <c r="CB73" s="26"/>
    </row>
    <row r="74" customFormat="false" ht="15" hidden="false" customHeight="true" outlineLevel="2" collapsed="false">
      <c r="A74" s="31" t="s">
        <v>235</v>
      </c>
      <c r="B74" s="16"/>
      <c r="C74" s="33" t="s">
        <v>236</v>
      </c>
      <c r="D74" s="17"/>
      <c r="E74" s="18" t="s">
        <v>237</v>
      </c>
      <c r="F74" s="19"/>
      <c r="G74" s="30" t="s">
        <v>238</v>
      </c>
      <c r="H74" s="21" t="s">
        <v>31</v>
      </c>
      <c r="I74" s="22" t="s">
        <v>54</v>
      </c>
      <c r="J74" s="34" t="s">
        <v>132</v>
      </c>
      <c r="K74" s="15" t="s">
        <v>221</v>
      </c>
      <c r="L74" s="23" t="n">
        <f aca="false">MAX(DATE(2026,11,4),IF(COUNT(O72,O73)=0,0,MAX(O72,O73)+1))</f>
        <v>46330</v>
      </c>
      <c r="M74" s="24" t="n">
        <v>1</v>
      </c>
      <c r="N74" s="23"/>
      <c r="O74" s="23" t="n">
        <f aca="false">IF(ISNUMBER(L74),L74+M74-1,"")</f>
        <v>46330</v>
      </c>
      <c r="P74" s="22" t="s">
        <v>41</v>
      </c>
      <c r="Q74" s="17"/>
      <c r="R74" s="27"/>
      <c r="S74" s="17"/>
      <c r="T74" s="17"/>
      <c r="U74" s="17"/>
      <c r="V74" s="17"/>
      <c r="W74" s="26"/>
      <c r="X74" s="26"/>
      <c r="Y74" s="27"/>
      <c r="Z74" s="17"/>
      <c r="AA74" s="17"/>
      <c r="AB74" s="17"/>
      <c r="AC74" s="17"/>
      <c r="AD74" s="26"/>
      <c r="AE74" s="26"/>
      <c r="AF74" s="27"/>
      <c r="AG74" s="17"/>
      <c r="AH74" s="28"/>
      <c r="AI74" s="17"/>
      <c r="AJ74" s="17"/>
      <c r="AK74" s="26"/>
      <c r="AL74" s="26"/>
      <c r="AM74" s="27"/>
      <c r="AN74" s="17"/>
      <c r="AO74" s="17"/>
      <c r="AP74" s="17"/>
      <c r="AQ74" s="17"/>
      <c r="AR74" s="26"/>
      <c r="AS74" s="26"/>
      <c r="AT74" s="27"/>
      <c r="AU74" s="17"/>
      <c r="AV74" s="17"/>
      <c r="AW74" s="17"/>
      <c r="AX74" s="17"/>
      <c r="AY74" s="26"/>
      <c r="AZ74" s="26"/>
      <c r="BA74" s="27"/>
      <c r="BB74" s="17"/>
      <c r="BC74" s="17"/>
      <c r="BD74" s="17"/>
      <c r="BE74" s="17"/>
      <c r="BF74" s="26"/>
      <c r="BG74" s="26"/>
      <c r="BH74" s="27"/>
      <c r="BI74" s="17"/>
      <c r="BJ74" s="17"/>
      <c r="BK74" s="17"/>
      <c r="BL74" s="17"/>
      <c r="BM74" s="26"/>
      <c r="BN74" s="26"/>
      <c r="BO74" s="27"/>
      <c r="BP74" s="17"/>
      <c r="BQ74" s="17"/>
      <c r="BR74" s="17"/>
      <c r="BS74" s="17"/>
      <c r="BT74" s="26"/>
      <c r="BU74" s="26"/>
      <c r="BV74" s="27"/>
      <c r="BW74" s="17"/>
      <c r="BX74" s="17"/>
      <c r="BY74" s="17"/>
      <c r="BZ74" s="17"/>
      <c r="CA74" s="26"/>
      <c r="CB74" s="26"/>
    </row>
    <row r="75" customFormat="false" ht="3.75" hidden="false" customHeight="true" outlineLevel="0" collapsed="false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</row>
    <row r="76" customFormat="false" ht="18" hidden="false" customHeight="true" outlineLevel="0" collapsed="false">
      <c r="A76" s="13" t="s">
        <v>239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</row>
    <row r="77" customFormat="false" ht="15" hidden="false" customHeight="true" outlineLevel="1" collapsed="false">
      <c r="A77" s="15" t="s">
        <v>240</v>
      </c>
      <c r="B77" s="16" t="s">
        <v>241</v>
      </c>
      <c r="C77" s="17"/>
      <c r="D77" s="17"/>
      <c r="E77" s="18" t="s">
        <v>242</v>
      </c>
      <c r="F77" s="19"/>
      <c r="G77" s="30" t="s">
        <v>243</v>
      </c>
      <c r="H77" s="21" t="s">
        <v>75</v>
      </c>
      <c r="I77" s="22" t="s">
        <v>54</v>
      </c>
      <c r="J77" s="34" t="s">
        <v>31</v>
      </c>
      <c r="K77" s="15" t="s">
        <v>244</v>
      </c>
      <c r="L77" s="23" t="n">
        <f aca="false">MAX(DATE(2026,11,9),IF(COUNT(O30,O11,O17,O74)=0,0,MAX(O30,O11,O17,O74)+1))</f>
        <v>46335</v>
      </c>
      <c r="M77" s="24" t="n">
        <v>5</v>
      </c>
      <c r="N77" s="23"/>
      <c r="O77" s="23" t="n">
        <f aca="false">IF(ISNUMBER(L77),L77+M77-1,"")</f>
        <v>46339</v>
      </c>
      <c r="P77" s="22" t="s">
        <v>41</v>
      </c>
      <c r="Q77" s="17"/>
      <c r="R77" s="27"/>
      <c r="S77" s="17"/>
      <c r="T77" s="17"/>
      <c r="U77" s="17"/>
      <c r="V77" s="17"/>
      <c r="W77" s="26"/>
      <c r="X77" s="26"/>
      <c r="Y77" s="27"/>
      <c r="Z77" s="17"/>
      <c r="AA77" s="17"/>
      <c r="AB77" s="17"/>
      <c r="AC77" s="17"/>
      <c r="AD77" s="26"/>
      <c r="AE77" s="26"/>
      <c r="AF77" s="27"/>
      <c r="AG77" s="17"/>
      <c r="AH77" s="28"/>
      <c r="AI77" s="17"/>
      <c r="AJ77" s="17"/>
      <c r="AK77" s="26"/>
      <c r="AL77" s="26"/>
      <c r="AM77" s="27"/>
      <c r="AN77" s="17"/>
      <c r="AO77" s="17"/>
      <c r="AP77" s="17"/>
      <c r="AQ77" s="17"/>
      <c r="AR77" s="26"/>
      <c r="AS77" s="26"/>
      <c r="AT77" s="27"/>
      <c r="AU77" s="17"/>
      <c r="AV77" s="17"/>
      <c r="AW77" s="17"/>
      <c r="AX77" s="17"/>
      <c r="AY77" s="26"/>
      <c r="AZ77" s="26"/>
      <c r="BA77" s="27"/>
      <c r="BB77" s="17"/>
      <c r="BC77" s="17"/>
      <c r="BD77" s="17"/>
      <c r="BE77" s="17"/>
      <c r="BF77" s="26"/>
      <c r="BG77" s="26"/>
      <c r="BH77" s="27"/>
      <c r="BI77" s="17"/>
      <c r="BJ77" s="17"/>
      <c r="BK77" s="17"/>
      <c r="BL77" s="17"/>
      <c r="BM77" s="26"/>
      <c r="BN77" s="26"/>
      <c r="BO77" s="27"/>
      <c r="BP77" s="17"/>
      <c r="BQ77" s="17"/>
      <c r="BR77" s="17"/>
      <c r="BS77" s="17"/>
      <c r="BT77" s="26"/>
      <c r="BU77" s="26"/>
      <c r="BV77" s="27"/>
      <c r="BW77" s="17"/>
      <c r="BX77" s="17"/>
      <c r="BY77" s="17"/>
      <c r="BZ77" s="17"/>
      <c r="CA77" s="26"/>
      <c r="CB77" s="26"/>
    </row>
    <row r="78" customFormat="false" ht="15" hidden="false" customHeight="true" outlineLevel="1" collapsed="false">
      <c r="A78" s="15" t="s">
        <v>245</v>
      </c>
      <c r="B78" s="16" t="s">
        <v>246</v>
      </c>
      <c r="C78" s="17"/>
      <c r="D78" s="17"/>
      <c r="E78" s="18" t="s">
        <v>247</v>
      </c>
      <c r="F78" s="19"/>
      <c r="G78" s="30" t="s">
        <v>248</v>
      </c>
      <c r="H78" s="21" t="s">
        <v>93</v>
      </c>
      <c r="I78" s="22" t="s">
        <v>54</v>
      </c>
      <c r="J78" s="34" t="s">
        <v>31</v>
      </c>
      <c r="K78" s="15" t="s">
        <v>244</v>
      </c>
      <c r="L78" s="23" t="n">
        <f aca="false">MAX(DATE(2026,11,9),IF(COUNT(O30,O12,O17,O74)=0,0,MAX(O30,O12,O17,O74)+1))</f>
        <v>46335</v>
      </c>
      <c r="M78" s="24" t="n">
        <v>5</v>
      </c>
      <c r="N78" s="23"/>
      <c r="O78" s="23" t="n">
        <f aca="false">IF(ISNUMBER(L78),L78+M78-1,"")</f>
        <v>46339</v>
      </c>
      <c r="P78" s="22" t="s">
        <v>41</v>
      </c>
      <c r="Q78" s="17"/>
      <c r="R78" s="27"/>
      <c r="S78" s="17"/>
      <c r="T78" s="17"/>
      <c r="U78" s="17"/>
      <c r="V78" s="17"/>
      <c r="W78" s="26"/>
      <c r="X78" s="26"/>
      <c r="Y78" s="27"/>
      <c r="Z78" s="17"/>
      <c r="AA78" s="17"/>
      <c r="AB78" s="17"/>
      <c r="AC78" s="17"/>
      <c r="AD78" s="26"/>
      <c r="AE78" s="26"/>
      <c r="AF78" s="27"/>
      <c r="AG78" s="17"/>
      <c r="AH78" s="28"/>
      <c r="AI78" s="17"/>
      <c r="AJ78" s="17"/>
      <c r="AK78" s="26"/>
      <c r="AL78" s="26"/>
      <c r="AM78" s="27"/>
      <c r="AN78" s="17"/>
      <c r="AO78" s="17"/>
      <c r="AP78" s="17"/>
      <c r="AQ78" s="17"/>
      <c r="AR78" s="26"/>
      <c r="AS78" s="26"/>
      <c r="AT78" s="27"/>
      <c r="AU78" s="17"/>
      <c r="AV78" s="17"/>
      <c r="AW78" s="17"/>
      <c r="AX78" s="17"/>
      <c r="AY78" s="26"/>
      <c r="AZ78" s="26"/>
      <c r="BA78" s="27"/>
      <c r="BB78" s="17"/>
      <c r="BC78" s="17"/>
      <c r="BD78" s="17"/>
      <c r="BE78" s="17"/>
      <c r="BF78" s="26"/>
      <c r="BG78" s="26"/>
      <c r="BH78" s="27"/>
      <c r="BI78" s="17"/>
      <c r="BJ78" s="17"/>
      <c r="BK78" s="17"/>
      <c r="BL78" s="17"/>
      <c r="BM78" s="26"/>
      <c r="BN78" s="26"/>
      <c r="BO78" s="27"/>
      <c r="BP78" s="17"/>
      <c r="BQ78" s="17"/>
      <c r="BR78" s="17"/>
      <c r="BS78" s="17"/>
      <c r="BT78" s="26"/>
      <c r="BU78" s="26"/>
      <c r="BV78" s="27"/>
      <c r="BW78" s="17"/>
      <c r="BX78" s="17"/>
      <c r="BY78" s="17"/>
      <c r="BZ78" s="17"/>
      <c r="CA78" s="26"/>
      <c r="CB78" s="26"/>
    </row>
    <row r="79" customFormat="false" ht="15" hidden="false" customHeight="true" outlineLevel="1" collapsed="false">
      <c r="A79" s="15" t="s">
        <v>249</v>
      </c>
      <c r="B79" s="16" t="s">
        <v>250</v>
      </c>
      <c r="C79" s="17"/>
      <c r="D79" s="17"/>
      <c r="E79" s="18" t="s">
        <v>251</v>
      </c>
      <c r="F79" s="19"/>
      <c r="G79" s="30" t="s">
        <v>252</v>
      </c>
      <c r="H79" s="21" t="s">
        <v>31</v>
      </c>
      <c r="I79" s="22" t="s">
        <v>54</v>
      </c>
      <c r="J79" s="34" t="s">
        <v>253</v>
      </c>
      <c r="K79" s="15" t="s">
        <v>244</v>
      </c>
      <c r="L79" s="23" t="n">
        <f aca="false">MAX(DATE(2026,11,4),IF(COUNT(O25,O26)=0,0,MAX(O25,O26)+1))</f>
        <v>46330</v>
      </c>
      <c r="M79" s="24" t="n">
        <v>27</v>
      </c>
      <c r="N79" s="23"/>
      <c r="O79" s="23" t="n">
        <f aca="false">IF(ISNUMBER(L79),L79+M79-1,"")</f>
        <v>46356</v>
      </c>
      <c r="P79" s="22" t="s">
        <v>41</v>
      </c>
      <c r="Q79" s="17"/>
      <c r="R79" s="27"/>
      <c r="S79" s="17"/>
      <c r="T79" s="17"/>
      <c r="U79" s="17"/>
      <c r="V79" s="17"/>
      <c r="W79" s="26"/>
      <c r="X79" s="26"/>
      <c r="Y79" s="27"/>
      <c r="Z79" s="17"/>
      <c r="AA79" s="17"/>
      <c r="AB79" s="17"/>
      <c r="AC79" s="17"/>
      <c r="AD79" s="26"/>
      <c r="AE79" s="26"/>
      <c r="AF79" s="27"/>
      <c r="AG79" s="17"/>
      <c r="AH79" s="28"/>
      <c r="AI79" s="17"/>
      <c r="AJ79" s="17"/>
      <c r="AK79" s="26"/>
      <c r="AL79" s="26"/>
      <c r="AM79" s="27"/>
      <c r="AN79" s="17"/>
      <c r="AO79" s="17"/>
      <c r="AP79" s="17"/>
      <c r="AQ79" s="17"/>
      <c r="AR79" s="26"/>
      <c r="AS79" s="26"/>
      <c r="AT79" s="27"/>
      <c r="AU79" s="17"/>
      <c r="AV79" s="17"/>
      <c r="AW79" s="17"/>
      <c r="AX79" s="17"/>
      <c r="AY79" s="26"/>
      <c r="AZ79" s="26"/>
      <c r="BA79" s="27"/>
      <c r="BB79" s="17"/>
      <c r="BC79" s="17"/>
      <c r="BD79" s="17"/>
      <c r="BE79" s="17"/>
      <c r="BF79" s="26"/>
      <c r="BG79" s="26"/>
      <c r="BH79" s="27"/>
      <c r="BI79" s="17"/>
      <c r="BJ79" s="17"/>
      <c r="BK79" s="17"/>
      <c r="BL79" s="17"/>
      <c r="BM79" s="26"/>
      <c r="BN79" s="26"/>
      <c r="BO79" s="27"/>
      <c r="BP79" s="17"/>
      <c r="BQ79" s="17"/>
      <c r="BR79" s="17"/>
      <c r="BS79" s="17"/>
      <c r="BT79" s="26"/>
      <c r="BU79" s="26"/>
      <c r="BV79" s="27"/>
      <c r="BW79" s="17"/>
      <c r="BX79" s="17"/>
      <c r="BY79" s="17"/>
      <c r="BZ79" s="17"/>
      <c r="CA79" s="26"/>
      <c r="CB79" s="26"/>
    </row>
    <row r="80" customFormat="false" ht="15" hidden="false" customHeight="true" outlineLevel="1" collapsed="false">
      <c r="A80" s="31" t="s">
        <v>254</v>
      </c>
      <c r="B80" s="16" t="s">
        <v>255</v>
      </c>
      <c r="C80" s="17"/>
      <c r="D80" s="17"/>
      <c r="E80" s="18" t="s">
        <v>256</v>
      </c>
      <c r="F80" s="19"/>
      <c r="G80" s="20" t="s">
        <v>30</v>
      </c>
      <c r="H80" s="21" t="s">
        <v>257</v>
      </c>
      <c r="I80" s="47" t="s">
        <v>258</v>
      </c>
      <c r="J80" s="19"/>
      <c r="K80" s="15" t="s">
        <v>244</v>
      </c>
      <c r="L80" s="23" t="n">
        <v>46341</v>
      </c>
      <c r="M80" s="24" t="n">
        <v>1</v>
      </c>
      <c r="N80" s="23"/>
      <c r="O80" s="23" t="n">
        <f aca="false">IF(ISNUMBER(L80),L80+M80-1,"")</f>
        <v>46341</v>
      </c>
      <c r="P80" s="22" t="s">
        <v>41</v>
      </c>
      <c r="Q80" s="17"/>
      <c r="R80" s="48" t="str">
        <f aca="false">IF(R$4=$O80,"●","")</f>
        <v/>
      </c>
      <c r="S80" s="49" t="str">
        <f aca="false">IF(S$4=$O80,"●","")</f>
        <v/>
      </c>
      <c r="T80" s="49" t="str">
        <f aca="false">IF(T$4=$O80,"●","")</f>
        <v/>
      </c>
      <c r="U80" s="49" t="str">
        <f aca="false">IF(U$4=$O80,"●","")</f>
        <v/>
      </c>
      <c r="V80" s="49" t="str">
        <f aca="false">IF(V$4=$O80,"●","")</f>
        <v/>
      </c>
      <c r="W80" s="50" t="str">
        <f aca="false">IF(W$4=$O80,"●","")</f>
        <v/>
      </c>
      <c r="X80" s="50" t="str">
        <f aca="false">IF(X$4=$O80,"●","")</f>
        <v/>
      </c>
      <c r="Y80" s="48" t="str">
        <f aca="false">IF(Y$4=$O80,"●","")</f>
        <v/>
      </c>
      <c r="Z80" s="49" t="str">
        <f aca="false">IF(Z$4=$O80,"●","")</f>
        <v/>
      </c>
      <c r="AA80" s="49" t="str">
        <f aca="false">IF(AA$4=$O80,"●","")</f>
        <v/>
      </c>
      <c r="AB80" s="49" t="str">
        <f aca="false">IF(AB$4=$O80,"●","")</f>
        <v/>
      </c>
      <c r="AC80" s="49" t="str">
        <f aca="false">IF(AC$4=$O80,"●","")</f>
        <v/>
      </c>
      <c r="AD80" s="50" t="str">
        <f aca="false">IF(AD$4=$O80,"●","")</f>
        <v/>
      </c>
      <c r="AE80" s="50" t="str">
        <f aca="false">IF(AE$4=$O80,"●","")</f>
        <v/>
      </c>
      <c r="AF80" s="48" t="str">
        <f aca="false">IF(AF$4=$O80,"●","")</f>
        <v/>
      </c>
      <c r="AG80" s="49" t="str">
        <f aca="false">IF(AG$4=$O80,"●","")</f>
        <v/>
      </c>
      <c r="AH80" s="51" t="str">
        <f aca="false">IF(AH$4=$O80,"●","")</f>
        <v/>
      </c>
      <c r="AI80" s="49" t="str">
        <f aca="false">IF(AI$4=$O80,"●","")</f>
        <v/>
      </c>
      <c r="AJ80" s="49" t="str">
        <f aca="false">IF(AJ$4=$O80,"●","")</f>
        <v/>
      </c>
      <c r="AK80" s="50" t="str">
        <f aca="false">IF(AK$4=$O80,"●","")</f>
        <v/>
      </c>
      <c r="AL80" s="50" t="str">
        <f aca="false">IF(AL$4=$O80,"●","")</f>
        <v/>
      </c>
      <c r="AM80" s="48" t="str">
        <f aca="false">IF(AM$4=$O80,"●","")</f>
        <v/>
      </c>
      <c r="AN80" s="49" t="str">
        <f aca="false">IF(AN$4=$O80,"●","")</f>
        <v/>
      </c>
      <c r="AO80" s="49" t="str">
        <f aca="false">IF(AO$4=$O80,"●","")</f>
        <v/>
      </c>
      <c r="AP80" s="49" t="str">
        <f aca="false">IF(AP$4=$O80,"●","")</f>
        <v/>
      </c>
      <c r="AQ80" s="49" t="str">
        <f aca="false">IF(AQ$4=$O80,"●","")</f>
        <v/>
      </c>
      <c r="AR80" s="50" t="str">
        <f aca="false">IF(AR$4=$O80,"●","")</f>
        <v/>
      </c>
      <c r="AS80" s="50" t="str">
        <f aca="false">IF(AS$4=$O80,"●","")</f>
        <v>●</v>
      </c>
      <c r="AT80" s="48" t="str">
        <f aca="false">IF(AT$4=$O80,"●","")</f>
        <v/>
      </c>
      <c r="AU80" s="49" t="str">
        <f aca="false">IF(AU$4=$O80,"●","")</f>
        <v/>
      </c>
      <c r="AV80" s="49" t="str">
        <f aca="false">IF(AV$4=$O80,"●","")</f>
        <v/>
      </c>
      <c r="AW80" s="49" t="str">
        <f aca="false">IF(AW$4=$O80,"●","")</f>
        <v/>
      </c>
      <c r="AX80" s="49" t="str">
        <f aca="false">IF(AX$4=$O80,"●","")</f>
        <v/>
      </c>
      <c r="AY80" s="50" t="str">
        <f aca="false">IF(AY$4=$O80,"●","")</f>
        <v/>
      </c>
      <c r="AZ80" s="50" t="str">
        <f aca="false">IF(AZ$4=$O80,"●","")</f>
        <v/>
      </c>
      <c r="BA80" s="48" t="str">
        <f aca="false">IF(BA$4=$O80,"●","")</f>
        <v/>
      </c>
      <c r="BB80" s="49" t="str">
        <f aca="false">IF(BB$4=$O80,"●","")</f>
        <v/>
      </c>
      <c r="BC80" s="49" t="str">
        <f aca="false">IF(BC$4=$O80,"●","")</f>
        <v/>
      </c>
      <c r="BD80" s="49" t="str">
        <f aca="false">IF(BD$4=$O80,"●","")</f>
        <v/>
      </c>
      <c r="BE80" s="49" t="str">
        <f aca="false">IF(BE$4=$O80,"●","")</f>
        <v/>
      </c>
      <c r="BF80" s="50" t="str">
        <f aca="false">IF(BF$4=$O80,"●","")</f>
        <v/>
      </c>
      <c r="BG80" s="50" t="str">
        <f aca="false">IF(BG$4=$O80,"●","")</f>
        <v/>
      </c>
      <c r="BH80" s="48" t="str">
        <f aca="false">IF(BH$4=$O80,"●","")</f>
        <v/>
      </c>
      <c r="BI80" s="49" t="str">
        <f aca="false">IF(BI$4=$O80,"●","")</f>
        <v/>
      </c>
      <c r="BJ80" s="49" t="str">
        <f aca="false">IF(BJ$4=$O80,"●","")</f>
        <v/>
      </c>
      <c r="BK80" s="49" t="str">
        <f aca="false">IF(BK$4=$O80,"●","")</f>
        <v/>
      </c>
      <c r="BL80" s="49" t="str">
        <f aca="false">IF(BL$4=$O80,"●","")</f>
        <v/>
      </c>
      <c r="BM80" s="50" t="str">
        <f aca="false">IF(BM$4=$O80,"●","")</f>
        <v/>
      </c>
      <c r="BN80" s="50" t="str">
        <f aca="false">IF(BN$4=$O80,"●","")</f>
        <v/>
      </c>
      <c r="BO80" s="48" t="str">
        <f aca="false">IF(BO$4=$O80,"●","")</f>
        <v/>
      </c>
      <c r="BP80" s="49" t="str">
        <f aca="false">IF(BP$4=$O80,"●","")</f>
        <v/>
      </c>
      <c r="BQ80" s="49" t="str">
        <f aca="false">IF(BQ$4=$O80,"●","")</f>
        <v/>
      </c>
      <c r="BR80" s="49" t="str">
        <f aca="false">IF(BR$4=$O80,"●","")</f>
        <v/>
      </c>
      <c r="BS80" s="49" t="str">
        <f aca="false">IF(BS$4=$O80,"●","")</f>
        <v/>
      </c>
      <c r="BT80" s="50" t="str">
        <f aca="false">IF(BT$4=$O80,"●","")</f>
        <v/>
      </c>
      <c r="BU80" s="50" t="str">
        <f aca="false">IF(BU$4=$O80,"●","")</f>
        <v/>
      </c>
      <c r="BV80" s="48" t="str">
        <f aca="false">IF(BV$4=$O80,"●","")</f>
        <v/>
      </c>
      <c r="BW80" s="49" t="str">
        <f aca="false">IF(BW$4=$O80,"●","")</f>
        <v/>
      </c>
      <c r="BX80" s="49" t="str">
        <f aca="false">IF(BX$4=$O80,"●","")</f>
        <v/>
      </c>
      <c r="BY80" s="49" t="str">
        <f aca="false">IF(BY$4=$O80,"●","")</f>
        <v/>
      </c>
      <c r="BZ80" s="49" t="str">
        <f aca="false">IF(BZ$4=$O80,"●","")</f>
        <v/>
      </c>
      <c r="CA80" s="50" t="str">
        <f aca="false">IF(CA$4=$O80,"●","")</f>
        <v/>
      </c>
      <c r="CB80" s="50" t="str">
        <f aca="false">IF(CB$4=$O80,"●","")</f>
        <v/>
      </c>
    </row>
    <row r="81" customFormat="false" ht="15" hidden="false" customHeight="true" outlineLevel="1" collapsed="false">
      <c r="A81" s="31" t="s">
        <v>259</v>
      </c>
      <c r="B81" s="16" t="s">
        <v>260</v>
      </c>
      <c r="C81" s="17"/>
      <c r="D81" s="17"/>
      <c r="E81" s="18" t="s">
        <v>261</v>
      </c>
      <c r="F81" s="19"/>
      <c r="G81" s="20" t="s">
        <v>30</v>
      </c>
      <c r="H81" s="21" t="s">
        <v>262</v>
      </c>
      <c r="I81" s="47" t="s">
        <v>258</v>
      </c>
      <c r="J81" s="19"/>
      <c r="K81" s="15" t="s">
        <v>244</v>
      </c>
      <c r="L81" s="23" t="n">
        <v>46356</v>
      </c>
      <c r="M81" s="24" t="n">
        <v>1</v>
      </c>
      <c r="N81" s="23"/>
      <c r="O81" s="23" t="n">
        <f aca="false">IF(ISNUMBER(L81),L81+M81-1,"")</f>
        <v>46356</v>
      </c>
      <c r="P81" s="22" t="s">
        <v>41</v>
      </c>
      <c r="Q81" s="17"/>
      <c r="R81" s="48" t="str">
        <f aca="false">IF(R$4=$O81,"●","")</f>
        <v/>
      </c>
      <c r="S81" s="49" t="str">
        <f aca="false">IF(S$4=$O81,"●","")</f>
        <v/>
      </c>
      <c r="T81" s="49" t="str">
        <f aca="false">IF(T$4=$O81,"●","")</f>
        <v/>
      </c>
      <c r="U81" s="49" t="str">
        <f aca="false">IF(U$4=$O81,"●","")</f>
        <v/>
      </c>
      <c r="V81" s="49" t="str">
        <f aca="false">IF(V$4=$O81,"●","")</f>
        <v/>
      </c>
      <c r="W81" s="50" t="str">
        <f aca="false">IF(W$4=$O81,"●","")</f>
        <v/>
      </c>
      <c r="X81" s="50" t="str">
        <f aca="false">IF(X$4=$O81,"●","")</f>
        <v/>
      </c>
      <c r="Y81" s="48" t="str">
        <f aca="false">IF(Y$4=$O81,"●","")</f>
        <v/>
      </c>
      <c r="Z81" s="49" t="str">
        <f aca="false">IF(Z$4=$O81,"●","")</f>
        <v/>
      </c>
      <c r="AA81" s="49" t="str">
        <f aca="false">IF(AA$4=$O81,"●","")</f>
        <v/>
      </c>
      <c r="AB81" s="49" t="str">
        <f aca="false">IF(AB$4=$O81,"●","")</f>
        <v/>
      </c>
      <c r="AC81" s="49" t="str">
        <f aca="false">IF(AC$4=$O81,"●","")</f>
        <v/>
      </c>
      <c r="AD81" s="50" t="str">
        <f aca="false">IF(AD$4=$O81,"●","")</f>
        <v/>
      </c>
      <c r="AE81" s="50" t="str">
        <f aca="false">IF(AE$4=$O81,"●","")</f>
        <v/>
      </c>
      <c r="AF81" s="48" t="str">
        <f aca="false">IF(AF$4=$O81,"●","")</f>
        <v/>
      </c>
      <c r="AG81" s="49" t="str">
        <f aca="false">IF(AG$4=$O81,"●","")</f>
        <v/>
      </c>
      <c r="AH81" s="51" t="str">
        <f aca="false">IF(AH$4=$O81,"●","")</f>
        <v/>
      </c>
      <c r="AI81" s="49" t="str">
        <f aca="false">IF(AI$4=$O81,"●","")</f>
        <v/>
      </c>
      <c r="AJ81" s="49" t="str">
        <f aca="false">IF(AJ$4=$O81,"●","")</f>
        <v/>
      </c>
      <c r="AK81" s="50" t="str">
        <f aca="false">IF(AK$4=$O81,"●","")</f>
        <v/>
      </c>
      <c r="AL81" s="50" t="str">
        <f aca="false">IF(AL$4=$O81,"●","")</f>
        <v/>
      </c>
      <c r="AM81" s="48" t="str">
        <f aca="false">IF(AM$4=$O81,"●","")</f>
        <v/>
      </c>
      <c r="AN81" s="49" t="str">
        <f aca="false">IF(AN$4=$O81,"●","")</f>
        <v/>
      </c>
      <c r="AO81" s="49" t="str">
        <f aca="false">IF(AO$4=$O81,"●","")</f>
        <v/>
      </c>
      <c r="AP81" s="49" t="str">
        <f aca="false">IF(AP$4=$O81,"●","")</f>
        <v/>
      </c>
      <c r="AQ81" s="49" t="str">
        <f aca="false">IF(AQ$4=$O81,"●","")</f>
        <v/>
      </c>
      <c r="AR81" s="50" t="str">
        <f aca="false">IF(AR$4=$O81,"●","")</f>
        <v/>
      </c>
      <c r="AS81" s="50" t="str">
        <f aca="false">IF(AS$4=$O81,"●","")</f>
        <v/>
      </c>
      <c r="AT81" s="48" t="str">
        <f aca="false">IF(AT$4=$O81,"●","")</f>
        <v/>
      </c>
      <c r="AU81" s="49" t="str">
        <f aca="false">IF(AU$4=$O81,"●","")</f>
        <v/>
      </c>
      <c r="AV81" s="49" t="str">
        <f aca="false">IF(AV$4=$O81,"●","")</f>
        <v/>
      </c>
      <c r="AW81" s="49" t="str">
        <f aca="false">IF(AW$4=$O81,"●","")</f>
        <v/>
      </c>
      <c r="AX81" s="49" t="str">
        <f aca="false">IF(AX$4=$O81,"●","")</f>
        <v/>
      </c>
      <c r="AY81" s="50" t="str">
        <f aca="false">IF(AY$4=$O81,"●","")</f>
        <v/>
      </c>
      <c r="AZ81" s="50" t="str">
        <f aca="false">IF(AZ$4=$O81,"●","")</f>
        <v/>
      </c>
      <c r="BA81" s="48" t="str">
        <f aca="false">IF(BA$4=$O81,"●","")</f>
        <v/>
      </c>
      <c r="BB81" s="49" t="str">
        <f aca="false">IF(BB$4=$O81,"●","")</f>
        <v/>
      </c>
      <c r="BC81" s="49" t="str">
        <f aca="false">IF(BC$4=$O81,"●","")</f>
        <v/>
      </c>
      <c r="BD81" s="49" t="str">
        <f aca="false">IF(BD$4=$O81,"●","")</f>
        <v/>
      </c>
      <c r="BE81" s="49" t="str">
        <f aca="false">IF(BE$4=$O81,"●","")</f>
        <v/>
      </c>
      <c r="BF81" s="50" t="str">
        <f aca="false">IF(BF$4=$O81,"●","")</f>
        <v/>
      </c>
      <c r="BG81" s="50" t="str">
        <f aca="false">IF(BG$4=$O81,"●","")</f>
        <v/>
      </c>
      <c r="BH81" s="48" t="str">
        <f aca="false">IF(BH$4=$O81,"●","")</f>
        <v>●</v>
      </c>
      <c r="BI81" s="49" t="str">
        <f aca="false">IF(BI$4=$O81,"●","")</f>
        <v/>
      </c>
      <c r="BJ81" s="49" t="str">
        <f aca="false">IF(BJ$4=$O81,"●","")</f>
        <v/>
      </c>
      <c r="BK81" s="49" t="str">
        <f aca="false">IF(BK$4=$O81,"●","")</f>
        <v/>
      </c>
      <c r="BL81" s="49" t="str">
        <f aca="false">IF(BL$4=$O81,"●","")</f>
        <v/>
      </c>
      <c r="BM81" s="50" t="str">
        <f aca="false">IF(BM$4=$O81,"●","")</f>
        <v/>
      </c>
      <c r="BN81" s="50" t="str">
        <f aca="false">IF(BN$4=$O81,"●","")</f>
        <v/>
      </c>
      <c r="BO81" s="48" t="str">
        <f aca="false">IF(BO$4=$O81,"●","")</f>
        <v/>
      </c>
      <c r="BP81" s="49" t="str">
        <f aca="false">IF(BP$4=$O81,"●","")</f>
        <v/>
      </c>
      <c r="BQ81" s="49" t="str">
        <f aca="false">IF(BQ$4=$O81,"●","")</f>
        <v/>
      </c>
      <c r="BR81" s="49" t="str">
        <f aca="false">IF(BR$4=$O81,"●","")</f>
        <v/>
      </c>
      <c r="BS81" s="49" t="str">
        <f aca="false">IF(BS$4=$O81,"●","")</f>
        <v/>
      </c>
      <c r="BT81" s="50" t="str">
        <f aca="false">IF(BT$4=$O81,"●","")</f>
        <v/>
      </c>
      <c r="BU81" s="50" t="str">
        <f aca="false">IF(BU$4=$O81,"●","")</f>
        <v/>
      </c>
      <c r="BV81" s="48" t="str">
        <f aca="false">IF(BV$4=$O81,"●","")</f>
        <v/>
      </c>
      <c r="BW81" s="49" t="str">
        <f aca="false">IF(BW$4=$O81,"●","")</f>
        <v/>
      </c>
      <c r="BX81" s="49" t="str">
        <f aca="false">IF(BX$4=$O81,"●","")</f>
        <v/>
      </c>
      <c r="BY81" s="49" t="str">
        <f aca="false">IF(BY$4=$O81,"●","")</f>
        <v/>
      </c>
      <c r="BZ81" s="49" t="str">
        <f aca="false">IF(BZ$4=$O81,"●","")</f>
        <v/>
      </c>
      <c r="CA81" s="50" t="str">
        <f aca="false">IF(CA$4=$O81,"●","")</f>
        <v/>
      </c>
      <c r="CB81" s="50" t="str">
        <f aca="false">IF(CB$4=$O81,"●","")</f>
        <v/>
      </c>
    </row>
    <row r="82" customFormat="false" ht="15" hidden="false" customHeight="true" outlineLevel="1" collapsed="false">
      <c r="A82" s="31" t="s">
        <v>263</v>
      </c>
      <c r="B82" s="16" t="s">
        <v>264</v>
      </c>
      <c r="C82" s="17"/>
      <c r="D82" s="17"/>
      <c r="E82" s="18" t="s">
        <v>265</v>
      </c>
      <c r="F82" s="19"/>
      <c r="G82" s="20" t="s">
        <v>30</v>
      </c>
      <c r="H82" s="21" t="s">
        <v>266</v>
      </c>
      <c r="I82" s="47" t="s">
        <v>258</v>
      </c>
      <c r="J82" s="19"/>
      <c r="K82" s="15" t="s">
        <v>244</v>
      </c>
      <c r="L82" s="23" t="n">
        <v>46356</v>
      </c>
      <c r="M82" s="24" t="n">
        <v>1</v>
      </c>
      <c r="N82" s="23"/>
      <c r="O82" s="23" t="n">
        <f aca="false">IF(ISNUMBER(L82),L82+M82-1,"")</f>
        <v>46356</v>
      </c>
      <c r="P82" s="22" t="s">
        <v>41</v>
      </c>
      <c r="Q82" s="17"/>
      <c r="R82" s="48" t="str">
        <f aca="false">IF(R$4=$O82,"●","")</f>
        <v/>
      </c>
      <c r="S82" s="49" t="str">
        <f aca="false">IF(S$4=$O82,"●","")</f>
        <v/>
      </c>
      <c r="T82" s="49" t="str">
        <f aca="false">IF(T$4=$O82,"●","")</f>
        <v/>
      </c>
      <c r="U82" s="49" t="str">
        <f aca="false">IF(U$4=$O82,"●","")</f>
        <v/>
      </c>
      <c r="V82" s="49" t="str">
        <f aca="false">IF(V$4=$O82,"●","")</f>
        <v/>
      </c>
      <c r="W82" s="50" t="str">
        <f aca="false">IF(W$4=$O82,"●","")</f>
        <v/>
      </c>
      <c r="X82" s="50" t="str">
        <f aca="false">IF(X$4=$O82,"●","")</f>
        <v/>
      </c>
      <c r="Y82" s="48" t="str">
        <f aca="false">IF(Y$4=$O82,"●","")</f>
        <v/>
      </c>
      <c r="Z82" s="49" t="str">
        <f aca="false">IF(Z$4=$O82,"●","")</f>
        <v/>
      </c>
      <c r="AA82" s="49" t="str">
        <f aca="false">IF(AA$4=$O82,"●","")</f>
        <v/>
      </c>
      <c r="AB82" s="49" t="str">
        <f aca="false">IF(AB$4=$O82,"●","")</f>
        <v/>
      </c>
      <c r="AC82" s="49" t="str">
        <f aca="false">IF(AC$4=$O82,"●","")</f>
        <v/>
      </c>
      <c r="AD82" s="50" t="str">
        <f aca="false">IF(AD$4=$O82,"●","")</f>
        <v/>
      </c>
      <c r="AE82" s="50" t="str">
        <f aca="false">IF(AE$4=$O82,"●","")</f>
        <v/>
      </c>
      <c r="AF82" s="48" t="str">
        <f aca="false">IF(AF$4=$O82,"●","")</f>
        <v/>
      </c>
      <c r="AG82" s="49" t="str">
        <f aca="false">IF(AG$4=$O82,"●","")</f>
        <v/>
      </c>
      <c r="AH82" s="51" t="str">
        <f aca="false">IF(AH$4=$O82,"●","")</f>
        <v/>
      </c>
      <c r="AI82" s="49" t="str">
        <f aca="false">IF(AI$4=$O82,"●","")</f>
        <v/>
      </c>
      <c r="AJ82" s="49" t="str">
        <f aca="false">IF(AJ$4=$O82,"●","")</f>
        <v/>
      </c>
      <c r="AK82" s="50" t="str">
        <f aca="false">IF(AK$4=$O82,"●","")</f>
        <v/>
      </c>
      <c r="AL82" s="50" t="str">
        <f aca="false">IF(AL$4=$O82,"●","")</f>
        <v/>
      </c>
      <c r="AM82" s="48" t="str">
        <f aca="false">IF(AM$4=$O82,"●","")</f>
        <v/>
      </c>
      <c r="AN82" s="49" t="str">
        <f aca="false">IF(AN$4=$O82,"●","")</f>
        <v/>
      </c>
      <c r="AO82" s="49" t="str">
        <f aca="false">IF(AO$4=$O82,"●","")</f>
        <v/>
      </c>
      <c r="AP82" s="49" t="str">
        <f aca="false">IF(AP$4=$O82,"●","")</f>
        <v/>
      </c>
      <c r="AQ82" s="49" t="str">
        <f aca="false">IF(AQ$4=$O82,"●","")</f>
        <v/>
      </c>
      <c r="AR82" s="50" t="str">
        <f aca="false">IF(AR$4=$O82,"●","")</f>
        <v/>
      </c>
      <c r="AS82" s="50" t="str">
        <f aca="false">IF(AS$4=$O82,"●","")</f>
        <v/>
      </c>
      <c r="AT82" s="48" t="str">
        <f aca="false">IF(AT$4=$O82,"●","")</f>
        <v/>
      </c>
      <c r="AU82" s="49" t="str">
        <f aca="false">IF(AU$4=$O82,"●","")</f>
        <v/>
      </c>
      <c r="AV82" s="49" t="str">
        <f aca="false">IF(AV$4=$O82,"●","")</f>
        <v/>
      </c>
      <c r="AW82" s="49" t="str">
        <f aca="false">IF(AW$4=$O82,"●","")</f>
        <v/>
      </c>
      <c r="AX82" s="49" t="str">
        <f aca="false">IF(AX$4=$O82,"●","")</f>
        <v/>
      </c>
      <c r="AY82" s="50" t="str">
        <f aca="false">IF(AY$4=$O82,"●","")</f>
        <v/>
      </c>
      <c r="AZ82" s="50" t="str">
        <f aca="false">IF(AZ$4=$O82,"●","")</f>
        <v/>
      </c>
      <c r="BA82" s="48" t="str">
        <f aca="false">IF(BA$4=$O82,"●","")</f>
        <v/>
      </c>
      <c r="BB82" s="49" t="str">
        <f aca="false">IF(BB$4=$O82,"●","")</f>
        <v/>
      </c>
      <c r="BC82" s="49" t="str">
        <f aca="false">IF(BC$4=$O82,"●","")</f>
        <v/>
      </c>
      <c r="BD82" s="49" t="str">
        <f aca="false">IF(BD$4=$O82,"●","")</f>
        <v/>
      </c>
      <c r="BE82" s="49" t="str">
        <f aca="false">IF(BE$4=$O82,"●","")</f>
        <v/>
      </c>
      <c r="BF82" s="50" t="str">
        <f aca="false">IF(BF$4=$O82,"●","")</f>
        <v/>
      </c>
      <c r="BG82" s="50" t="str">
        <f aca="false">IF(BG$4=$O82,"●","")</f>
        <v/>
      </c>
      <c r="BH82" s="48" t="str">
        <f aca="false">IF(BH$4=$O82,"●","")</f>
        <v>●</v>
      </c>
      <c r="BI82" s="49" t="str">
        <f aca="false">IF(BI$4=$O82,"●","")</f>
        <v/>
      </c>
      <c r="BJ82" s="49" t="str">
        <f aca="false">IF(BJ$4=$O82,"●","")</f>
        <v/>
      </c>
      <c r="BK82" s="49" t="str">
        <f aca="false">IF(BK$4=$O82,"●","")</f>
        <v/>
      </c>
      <c r="BL82" s="49" t="str">
        <f aca="false">IF(BL$4=$O82,"●","")</f>
        <v/>
      </c>
      <c r="BM82" s="50" t="str">
        <f aca="false">IF(BM$4=$O82,"●","")</f>
        <v/>
      </c>
      <c r="BN82" s="50" t="str">
        <f aca="false">IF(BN$4=$O82,"●","")</f>
        <v/>
      </c>
      <c r="BO82" s="48" t="str">
        <f aca="false">IF(BO$4=$O82,"●","")</f>
        <v/>
      </c>
      <c r="BP82" s="49" t="str">
        <f aca="false">IF(BP$4=$O82,"●","")</f>
        <v/>
      </c>
      <c r="BQ82" s="49" t="str">
        <f aca="false">IF(BQ$4=$O82,"●","")</f>
        <v/>
      </c>
      <c r="BR82" s="49" t="str">
        <f aca="false">IF(BR$4=$O82,"●","")</f>
        <v/>
      </c>
      <c r="BS82" s="49" t="str">
        <f aca="false">IF(BS$4=$O82,"●","")</f>
        <v/>
      </c>
      <c r="BT82" s="50" t="str">
        <f aca="false">IF(BT$4=$O82,"●","")</f>
        <v/>
      </c>
      <c r="BU82" s="50" t="str">
        <f aca="false">IF(BU$4=$O82,"●","")</f>
        <v/>
      </c>
      <c r="BV82" s="48" t="str">
        <f aca="false">IF(BV$4=$O82,"●","")</f>
        <v/>
      </c>
      <c r="BW82" s="49" t="str">
        <f aca="false">IF(BW$4=$O82,"●","")</f>
        <v/>
      </c>
      <c r="BX82" s="49" t="str">
        <f aca="false">IF(BX$4=$O82,"●","")</f>
        <v/>
      </c>
      <c r="BY82" s="49" t="str">
        <f aca="false">IF(BY$4=$O82,"●","")</f>
        <v/>
      </c>
      <c r="BZ82" s="49" t="str">
        <f aca="false">IF(BZ$4=$O82,"●","")</f>
        <v/>
      </c>
      <c r="CA82" s="50" t="str">
        <f aca="false">IF(CA$4=$O82,"●","")</f>
        <v/>
      </c>
      <c r="CB82" s="50" t="str">
        <f aca="false">IF(CB$4=$O82,"●","")</f>
        <v/>
      </c>
    </row>
    <row r="83" customFormat="false" ht="15" hidden="false" customHeight="true" outlineLevel="1" collapsed="false">
      <c r="A83" s="31" t="s">
        <v>267</v>
      </c>
      <c r="B83" s="16" t="s">
        <v>268</v>
      </c>
      <c r="C83" s="17"/>
      <c r="D83" s="17"/>
      <c r="E83" s="18" t="s">
        <v>269</v>
      </c>
      <c r="F83" s="19"/>
      <c r="G83" s="20" t="s">
        <v>30</v>
      </c>
      <c r="H83" s="21" t="s">
        <v>270</v>
      </c>
      <c r="I83" s="47" t="s">
        <v>258</v>
      </c>
      <c r="J83" s="19"/>
      <c r="K83" s="15" t="s">
        <v>244</v>
      </c>
      <c r="L83" s="23" t="n">
        <v>46356</v>
      </c>
      <c r="M83" s="24" t="n">
        <v>1</v>
      </c>
      <c r="N83" s="23"/>
      <c r="O83" s="23" t="n">
        <f aca="false">IF(ISNUMBER(L83),L83+M83-1,"")</f>
        <v>46356</v>
      </c>
      <c r="P83" s="22" t="s">
        <v>41</v>
      </c>
      <c r="Q83" s="17"/>
      <c r="R83" s="48" t="str">
        <f aca="false">IF(R$4=$O83,"●","")</f>
        <v/>
      </c>
      <c r="S83" s="49" t="str">
        <f aca="false">IF(S$4=$O83,"●","")</f>
        <v/>
      </c>
      <c r="T83" s="49" t="str">
        <f aca="false">IF(T$4=$O83,"●","")</f>
        <v/>
      </c>
      <c r="U83" s="49" t="str">
        <f aca="false">IF(U$4=$O83,"●","")</f>
        <v/>
      </c>
      <c r="V83" s="49" t="str">
        <f aca="false">IF(V$4=$O83,"●","")</f>
        <v/>
      </c>
      <c r="W83" s="50" t="str">
        <f aca="false">IF(W$4=$O83,"●","")</f>
        <v/>
      </c>
      <c r="X83" s="50" t="str">
        <f aca="false">IF(X$4=$O83,"●","")</f>
        <v/>
      </c>
      <c r="Y83" s="48" t="str">
        <f aca="false">IF(Y$4=$O83,"●","")</f>
        <v/>
      </c>
      <c r="Z83" s="49" t="str">
        <f aca="false">IF(Z$4=$O83,"●","")</f>
        <v/>
      </c>
      <c r="AA83" s="49" t="str">
        <f aca="false">IF(AA$4=$O83,"●","")</f>
        <v/>
      </c>
      <c r="AB83" s="49" t="str">
        <f aca="false">IF(AB$4=$O83,"●","")</f>
        <v/>
      </c>
      <c r="AC83" s="49" t="str">
        <f aca="false">IF(AC$4=$O83,"●","")</f>
        <v/>
      </c>
      <c r="AD83" s="50" t="str">
        <f aca="false">IF(AD$4=$O83,"●","")</f>
        <v/>
      </c>
      <c r="AE83" s="50" t="str">
        <f aca="false">IF(AE$4=$O83,"●","")</f>
        <v/>
      </c>
      <c r="AF83" s="48" t="str">
        <f aca="false">IF(AF$4=$O83,"●","")</f>
        <v/>
      </c>
      <c r="AG83" s="49" t="str">
        <f aca="false">IF(AG$4=$O83,"●","")</f>
        <v/>
      </c>
      <c r="AH83" s="51" t="str">
        <f aca="false">IF(AH$4=$O83,"●","")</f>
        <v/>
      </c>
      <c r="AI83" s="49" t="str">
        <f aca="false">IF(AI$4=$O83,"●","")</f>
        <v/>
      </c>
      <c r="AJ83" s="49" t="str">
        <f aca="false">IF(AJ$4=$O83,"●","")</f>
        <v/>
      </c>
      <c r="AK83" s="50" t="str">
        <f aca="false">IF(AK$4=$O83,"●","")</f>
        <v/>
      </c>
      <c r="AL83" s="50" t="str">
        <f aca="false">IF(AL$4=$O83,"●","")</f>
        <v/>
      </c>
      <c r="AM83" s="48" t="str">
        <f aca="false">IF(AM$4=$O83,"●","")</f>
        <v/>
      </c>
      <c r="AN83" s="49" t="str">
        <f aca="false">IF(AN$4=$O83,"●","")</f>
        <v/>
      </c>
      <c r="AO83" s="49" t="str">
        <f aca="false">IF(AO$4=$O83,"●","")</f>
        <v/>
      </c>
      <c r="AP83" s="49" t="str">
        <f aca="false">IF(AP$4=$O83,"●","")</f>
        <v/>
      </c>
      <c r="AQ83" s="49" t="str">
        <f aca="false">IF(AQ$4=$O83,"●","")</f>
        <v/>
      </c>
      <c r="AR83" s="50" t="str">
        <f aca="false">IF(AR$4=$O83,"●","")</f>
        <v/>
      </c>
      <c r="AS83" s="50" t="str">
        <f aca="false">IF(AS$4=$O83,"●","")</f>
        <v/>
      </c>
      <c r="AT83" s="48" t="str">
        <f aca="false">IF(AT$4=$O83,"●","")</f>
        <v/>
      </c>
      <c r="AU83" s="49" t="str">
        <f aca="false">IF(AU$4=$O83,"●","")</f>
        <v/>
      </c>
      <c r="AV83" s="49" t="str">
        <f aca="false">IF(AV$4=$O83,"●","")</f>
        <v/>
      </c>
      <c r="AW83" s="49" t="str">
        <f aca="false">IF(AW$4=$O83,"●","")</f>
        <v/>
      </c>
      <c r="AX83" s="49" t="str">
        <f aca="false">IF(AX$4=$O83,"●","")</f>
        <v/>
      </c>
      <c r="AY83" s="50" t="str">
        <f aca="false">IF(AY$4=$O83,"●","")</f>
        <v/>
      </c>
      <c r="AZ83" s="50" t="str">
        <f aca="false">IF(AZ$4=$O83,"●","")</f>
        <v/>
      </c>
      <c r="BA83" s="48" t="str">
        <f aca="false">IF(BA$4=$O83,"●","")</f>
        <v/>
      </c>
      <c r="BB83" s="49" t="str">
        <f aca="false">IF(BB$4=$O83,"●","")</f>
        <v/>
      </c>
      <c r="BC83" s="49" t="str">
        <f aca="false">IF(BC$4=$O83,"●","")</f>
        <v/>
      </c>
      <c r="BD83" s="49" t="str">
        <f aca="false">IF(BD$4=$O83,"●","")</f>
        <v/>
      </c>
      <c r="BE83" s="49" t="str">
        <f aca="false">IF(BE$4=$O83,"●","")</f>
        <v/>
      </c>
      <c r="BF83" s="50" t="str">
        <f aca="false">IF(BF$4=$O83,"●","")</f>
        <v/>
      </c>
      <c r="BG83" s="50" t="str">
        <f aca="false">IF(BG$4=$O83,"●","")</f>
        <v/>
      </c>
      <c r="BH83" s="48" t="str">
        <f aca="false">IF(BH$4=$O83,"●","")</f>
        <v>●</v>
      </c>
      <c r="BI83" s="49" t="str">
        <f aca="false">IF(BI$4=$O83,"●","")</f>
        <v/>
      </c>
      <c r="BJ83" s="49" t="str">
        <f aca="false">IF(BJ$4=$O83,"●","")</f>
        <v/>
      </c>
      <c r="BK83" s="49" t="str">
        <f aca="false">IF(BK$4=$O83,"●","")</f>
        <v/>
      </c>
      <c r="BL83" s="49" t="str">
        <f aca="false">IF(BL$4=$O83,"●","")</f>
        <v/>
      </c>
      <c r="BM83" s="50" t="str">
        <f aca="false">IF(BM$4=$O83,"●","")</f>
        <v/>
      </c>
      <c r="BN83" s="50" t="str">
        <f aca="false">IF(BN$4=$O83,"●","")</f>
        <v/>
      </c>
      <c r="BO83" s="48" t="str">
        <f aca="false">IF(BO$4=$O83,"●","")</f>
        <v/>
      </c>
      <c r="BP83" s="49" t="str">
        <f aca="false">IF(BP$4=$O83,"●","")</f>
        <v/>
      </c>
      <c r="BQ83" s="49" t="str">
        <f aca="false">IF(BQ$4=$O83,"●","")</f>
        <v/>
      </c>
      <c r="BR83" s="49" t="str">
        <f aca="false">IF(BR$4=$O83,"●","")</f>
        <v/>
      </c>
      <c r="BS83" s="49" t="str">
        <f aca="false">IF(BS$4=$O83,"●","")</f>
        <v/>
      </c>
      <c r="BT83" s="50" t="str">
        <f aca="false">IF(BT$4=$O83,"●","")</f>
        <v/>
      </c>
      <c r="BU83" s="50" t="str">
        <f aca="false">IF(BU$4=$O83,"●","")</f>
        <v/>
      </c>
      <c r="BV83" s="48" t="str">
        <f aca="false">IF(BV$4=$O83,"●","")</f>
        <v/>
      </c>
      <c r="BW83" s="49" t="str">
        <f aca="false">IF(BW$4=$O83,"●","")</f>
        <v/>
      </c>
      <c r="BX83" s="49" t="str">
        <f aca="false">IF(BX$4=$O83,"●","")</f>
        <v/>
      </c>
      <c r="BY83" s="49" t="str">
        <f aca="false">IF(BY$4=$O83,"●","")</f>
        <v/>
      </c>
      <c r="BZ83" s="49" t="str">
        <f aca="false">IF(BZ$4=$O83,"●","")</f>
        <v/>
      </c>
      <c r="CA83" s="50" t="str">
        <f aca="false">IF(CA$4=$O83,"●","")</f>
        <v/>
      </c>
      <c r="CB83" s="50" t="str">
        <f aca="false">IF(CB$4=$O83,"●","")</f>
        <v/>
      </c>
    </row>
    <row r="84" customFormat="false" ht="15" hidden="false" customHeight="true" outlineLevel="1" collapsed="false">
      <c r="A84" s="31" t="s">
        <v>271</v>
      </c>
      <c r="B84" s="16" t="s">
        <v>272</v>
      </c>
      <c r="C84" s="17"/>
      <c r="D84" s="17"/>
      <c r="E84" s="18" t="s">
        <v>273</v>
      </c>
      <c r="F84" s="19"/>
      <c r="G84" s="20" t="s">
        <v>30</v>
      </c>
      <c r="H84" s="21" t="s">
        <v>274</v>
      </c>
      <c r="I84" s="47" t="s">
        <v>258</v>
      </c>
      <c r="J84" s="19"/>
      <c r="K84" s="15" t="s">
        <v>244</v>
      </c>
      <c r="L84" s="23" t="n">
        <v>46364</v>
      </c>
      <c r="M84" s="24" t="n">
        <v>1</v>
      </c>
      <c r="N84" s="23"/>
      <c r="O84" s="23" t="n">
        <f aca="false">IF(ISNUMBER(L84),L84+M84-1,"")</f>
        <v>46364</v>
      </c>
      <c r="P84" s="22" t="s">
        <v>41</v>
      </c>
      <c r="Q84" s="17"/>
      <c r="R84" s="48" t="str">
        <f aca="false">IF(R$4=$O84,"●","")</f>
        <v/>
      </c>
      <c r="S84" s="49" t="str">
        <f aca="false">IF(S$4=$O84,"●","")</f>
        <v/>
      </c>
      <c r="T84" s="49" t="str">
        <f aca="false">IF(T$4=$O84,"●","")</f>
        <v/>
      </c>
      <c r="U84" s="49" t="str">
        <f aca="false">IF(U$4=$O84,"●","")</f>
        <v/>
      </c>
      <c r="V84" s="49" t="str">
        <f aca="false">IF(V$4=$O84,"●","")</f>
        <v/>
      </c>
      <c r="W84" s="50" t="str">
        <f aca="false">IF(W$4=$O84,"●","")</f>
        <v/>
      </c>
      <c r="X84" s="50" t="str">
        <f aca="false">IF(X$4=$O84,"●","")</f>
        <v/>
      </c>
      <c r="Y84" s="48" t="str">
        <f aca="false">IF(Y$4=$O84,"●","")</f>
        <v/>
      </c>
      <c r="Z84" s="49" t="str">
        <f aca="false">IF(Z$4=$O84,"●","")</f>
        <v/>
      </c>
      <c r="AA84" s="49" t="str">
        <f aca="false">IF(AA$4=$O84,"●","")</f>
        <v/>
      </c>
      <c r="AB84" s="49" t="str">
        <f aca="false">IF(AB$4=$O84,"●","")</f>
        <v/>
      </c>
      <c r="AC84" s="49" t="str">
        <f aca="false">IF(AC$4=$O84,"●","")</f>
        <v/>
      </c>
      <c r="AD84" s="50" t="str">
        <f aca="false">IF(AD$4=$O84,"●","")</f>
        <v/>
      </c>
      <c r="AE84" s="50" t="str">
        <f aca="false">IF(AE$4=$O84,"●","")</f>
        <v/>
      </c>
      <c r="AF84" s="48" t="str">
        <f aca="false">IF(AF$4=$O84,"●","")</f>
        <v/>
      </c>
      <c r="AG84" s="49" t="str">
        <f aca="false">IF(AG$4=$O84,"●","")</f>
        <v/>
      </c>
      <c r="AH84" s="51" t="str">
        <f aca="false">IF(AH$4=$O84,"●","")</f>
        <v/>
      </c>
      <c r="AI84" s="49" t="str">
        <f aca="false">IF(AI$4=$O84,"●","")</f>
        <v/>
      </c>
      <c r="AJ84" s="49" t="str">
        <f aca="false">IF(AJ$4=$O84,"●","")</f>
        <v/>
      </c>
      <c r="AK84" s="50" t="str">
        <f aca="false">IF(AK$4=$O84,"●","")</f>
        <v/>
      </c>
      <c r="AL84" s="50" t="str">
        <f aca="false">IF(AL$4=$O84,"●","")</f>
        <v/>
      </c>
      <c r="AM84" s="48" t="str">
        <f aca="false">IF(AM$4=$O84,"●","")</f>
        <v/>
      </c>
      <c r="AN84" s="49" t="str">
        <f aca="false">IF(AN$4=$O84,"●","")</f>
        <v/>
      </c>
      <c r="AO84" s="49" t="str">
        <f aca="false">IF(AO$4=$O84,"●","")</f>
        <v/>
      </c>
      <c r="AP84" s="49" t="str">
        <f aca="false">IF(AP$4=$O84,"●","")</f>
        <v/>
      </c>
      <c r="AQ84" s="49" t="str">
        <f aca="false">IF(AQ$4=$O84,"●","")</f>
        <v/>
      </c>
      <c r="AR84" s="50" t="str">
        <f aca="false">IF(AR$4=$O84,"●","")</f>
        <v/>
      </c>
      <c r="AS84" s="50" t="str">
        <f aca="false">IF(AS$4=$O84,"●","")</f>
        <v/>
      </c>
      <c r="AT84" s="48" t="str">
        <f aca="false">IF(AT$4=$O84,"●","")</f>
        <v/>
      </c>
      <c r="AU84" s="49" t="str">
        <f aca="false">IF(AU$4=$O84,"●","")</f>
        <v/>
      </c>
      <c r="AV84" s="49" t="str">
        <f aca="false">IF(AV$4=$O84,"●","")</f>
        <v/>
      </c>
      <c r="AW84" s="49" t="str">
        <f aca="false">IF(AW$4=$O84,"●","")</f>
        <v/>
      </c>
      <c r="AX84" s="49" t="str">
        <f aca="false">IF(AX$4=$O84,"●","")</f>
        <v/>
      </c>
      <c r="AY84" s="50" t="str">
        <f aca="false">IF(AY$4=$O84,"●","")</f>
        <v/>
      </c>
      <c r="AZ84" s="50" t="str">
        <f aca="false">IF(AZ$4=$O84,"●","")</f>
        <v/>
      </c>
      <c r="BA84" s="48" t="str">
        <f aca="false">IF(BA$4=$O84,"●","")</f>
        <v/>
      </c>
      <c r="BB84" s="49" t="str">
        <f aca="false">IF(BB$4=$O84,"●","")</f>
        <v/>
      </c>
      <c r="BC84" s="49" t="str">
        <f aca="false">IF(BC$4=$O84,"●","")</f>
        <v/>
      </c>
      <c r="BD84" s="49" t="str">
        <f aca="false">IF(BD$4=$O84,"●","")</f>
        <v/>
      </c>
      <c r="BE84" s="49" t="str">
        <f aca="false">IF(BE$4=$O84,"●","")</f>
        <v/>
      </c>
      <c r="BF84" s="50" t="str">
        <f aca="false">IF(BF$4=$O84,"●","")</f>
        <v/>
      </c>
      <c r="BG84" s="50" t="str">
        <f aca="false">IF(BG$4=$O84,"●","")</f>
        <v/>
      </c>
      <c r="BH84" s="48" t="str">
        <f aca="false">IF(BH$4=$O84,"●","")</f>
        <v/>
      </c>
      <c r="BI84" s="49" t="str">
        <f aca="false">IF(BI$4=$O84,"●","")</f>
        <v/>
      </c>
      <c r="BJ84" s="49" t="str">
        <f aca="false">IF(BJ$4=$O84,"●","")</f>
        <v/>
      </c>
      <c r="BK84" s="49" t="str">
        <f aca="false">IF(BK$4=$O84,"●","")</f>
        <v/>
      </c>
      <c r="BL84" s="49" t="str">
        <f aca="false">IF(BL$4=$O84,"●","")</f>
        <v/>
      </c>
      <c r="BM84" s="50" t="str">
        <f aca="false">IF(BM$4=$O84,"●","")</f>
        <v/>
      </c>
      <c r="BN84" s="50" t="str">
        <f aca="false">IF(BN$4=$O84,"●","")</f>
        <v/>
      </c>
      <c r="BO84" s="48" t="str">
        <f aca="false">IF(BO$4=$O84,"●","")</f>
        <v/>
      </c>
      <c r="BP84" s="49" t="str">
        <f aca="false">IF(BP$4=$O84,"●","")</f>
        <v>●</v>
      </c>
      <c r="BQ84" s="49" t="str">
        <f aca="false">IF(BQ$4=$O84,"●","")</f>
        <v/>
      </c>
      <c r="BR84" s="49" t="str">
        <f aca="false">IF(BR$4=$O84,"●","")</f>
        <v/>
      </c>
      <c r="BS84" s="49" t="str">
        <f aca="false">IF(BS$4=$O84,"●","")</f>
        <v/>
      </c>
      <c r="BT84" s="50" t="str">
        <f aca="false">IF(BT$4=$O84,"●","")</f>
        <v/>
      </c>
      <c r="BU84" s="50" t="str">
        <f aca="false">IF(BU$4=$O84,"●","")</f>
        <v/>
      </c>
      <c r="BV84" s="48" t="str">
        <f aca="false">IF(BV$4=$O84,"●","")</f>
        <v/>
      </c>
      <c r="BW84" s="49" t="str">
        <f aca="false">IF(BW$4=$O84,"●","")</f>
        <v/>
      </c>
      <c r="BX84" s="49" t="str">
        <f aca="false">IF(BX$4=$O84,"●","")</f>
        <v/>
      </c>
      <c r="BY84" s="49" t="str">
        <f aca="false">IF(BY$4=$O84,"●","")</f>
        <v/>
      </c>
      <c r="BZ84" s="49" t="str">
        <f aca="false">IF(BZ$4=$O84,"●","")</f>
        <v/>
      </c>
      <c r="CA84" s="50" t="str">
        <f aca="false">IF(CA$4=$O84,"●","")</f>
        <v/>
      </c>
      <c r="CB84" s="50" t="str">
        <f aca="false">IF(CB$4=$O84,"●","")</f>
        <v/>
      </c>
    </row>
    <row r="85" customFormat="false" ht="15" hidden="false" customHeight="true" outlineLevel="1" collapsed="false">
      <c r="A85" s="31" t="s">
        <v>275</v>
      </c>
      <c r="B85" s="16" t="s">
        <v>276</v>
      </c>
      <c r="C85" s="17"/>
      <c r="D85" s="17"/>
      <c r="E85" s="18" t="s">
        <v>277</v>
      </c>
      <c r="F85" s="19"/>
      <c r="G85" s="20" t="s">
        <v>30</v>
      </c>
      <c r="H85" s="21" t="s">
        <v>278</v>
      </c>
      <c r="I85" s="47" t="s">
        <v>258</v>
      </c>
      <c r="J85" s="19"/>
      <c r="K85" s="15" t="s">
        <v>244</v>
      </c>
      <c r="L85" s="23" t="n">
        <v>46371</v>
      </c>
      <c r="M85" s="24" t="n">
        <v>1</v>
      </c>
      <c r="N85" s="23"/>
      <c r="O85" s="23" t="n">
        <f aca="false">IF(ISNUMBER(L85),L85+M85-1,"")</f>
        <v>46371</v>
      </c>
      <c r="P85" s="22" t="s">
        <v>41</v>
      </c>
      <c r="Q85" s="17"/>
      <c r="R85" s="48" t="str">
        <f aca="false">IF(R$4=$O85,"●","")</f>
        <v/>
      </c>
      <c r="S85" s="49" t="str">
        <f aca="false">IF(S$4=$O85,"●","")</f>
        <v/>
      </c>
      <c r="T85" s="49" t="str">
        <f aca="false">IF(T$4=$O85,"●","")</f>
        <v/>
      </c>
      <c r="U85" s="49" t="str">
        <f aca="false">IF(U$4=$O85,"●","")</f>
        <v/>
      </c>
      <c r="V85" s="49" t="str">
        <f aca="false">IF(V$4=$O85,"●","")</f>
        <v/>
      </c>
      <c r="W85" s="50" t="str">
        <f aca="false">IF(W$4=$O85,"●","")</f>
        <v/>
      </c>
      <c r="X85" s="50" t="str">
        <f aca="false">IF(X$4=$O85,"●","")</f>
        <v/>
      </c>
      <c r="Y85" s="48" t="str">
        <f aca="false">IF(Y$4=$O85,"●","")</f>
        <v/>
      </c>
      <c r="Z85" s="49" t="str">
        <f aca="false">IF(Z$4=$O85,"●","")</f>
        <v/>
      </c>
      <c r="AA85" s="49" t="str">
        <f aca="false">IF(AA$4=$O85,"●","")</f>
        <v/>
      </c>
      <c r="AB85" s="49" t="str">
        <f aca="false">IF(AB$4=$O85,"●","")</f>
        <v/>
      </c>
      <c r="AC85" s="49" t="str">
        <f aca="false">IF(AC$4=$O85,"●","")</f>
        <v/>
      </c>
      <c r="AD85" s="50" t="str">
        <f aca="false">IF(AD$4=$O85,"●","")</f>
        <v/>
      </c>
      <c r="AE85" s="50" t="str">
        <f aca="false">IF(AE$4=$O85,"●","")</f>
        <v/>
      </c>
      <c r="AF85" s="48" t="str">
        <f aca="false">IF(AF$4=$O85,"●","")</f>
        <v/>
      </c>
      <c r="AG85" s="49" t="str">
        <f aca="false">IF(AG$4=$O85,"●","")</f>
        <v/>
      </c>
      <c r="AH85" s="51" t="str">
        <f aca="false">IF(AH$4=$O85,"●","")</f>
        <v/>
      </c>
      <c r="AI85" s="49" t="str">
        <f aca="false">IF(AI$4=$O85,"●","")</f>
        <v/>
      </c>
      <c r="AJ85" s="49" t="str">
        <f aca="false">IF(AJ$4=$O85,"●","")</f>
        <v/>
      </c>
      <c r="AK85" s="50" t="str">
        <f aca="false">IF(AK$4=$O85,"●","")</f>
        <v/>
      </c>
      <c r="AL85" s="50" t="str">
        <f aca="false">IF(AL$4=$O85,"●","")</f>
        <v/>
      </c>
      <c r="AM85" s="48" t="str">
        <f aca="false">IF(AM$4=$O85,"●","")</f>
        <v/>
      </c>
      <c r="AN85" s="49" t="str">
        <f aca="false">IF(AN$4=$O85,"●","")</f>
        <v/>
      </c>
      <c r="AO85" s="49" t="str">
        <f aca="false">IF(AO$4=$O85,"●","")</f>
        <v/>
      </c>
      <c r="AP85" s="49" t="str">
        <f aca="false">IF(AP$4=$O85,"●","")</f>
        <v/>
      </c>
      <c r="AQ85" s="49" t="str">
        <f aca="false">IF(AQ$4=$O85,"●","")</f>
        <v/>
      </c>
      <c r="AR85" s="50" t="str">
        <f aca="false">IF(AR$4=$O85,"●","")</f>
        <v/>
      </c>
      <c r="AS85" s="50" t="str">
        <f aca="false">IF(AS$4=$O85,"●","")</f>
        <v/>
      </c>
      <c r="AT85" s="48" t="str">
        <f aca="false">IF(AT$4=$O85,"●","")</f>
        <v/>
      </c>
      <c r="AU85" s="49" t="str">
        <f aca="false">IF(AU$4=$O85,"●","")</f>
        <v/>
      </c>
      <c r="AV85" s="49" t="str">
        <f aca="false">IF(AV$4=$O85,"●","")</f>
        <v/>
      </c>
      <c r="AW85" s="49" t="str">
        <f aca="false">IF(AW$4=$O85,"●","")</f>
        <v/>
      </c>
      <c r="AX85" s="49" t="str">
        <f aca="false">IF(AX$4=$O85,"●","")</f>
        <v/>
      </c>
      <c r="AY85" s="50" t="str">
        <f aca="false">IF(AY$4=$O85,"●","")</f>
        <v/>
      </c>
      <c r="AZ85" s="50" t="str">
        <f aca="false">IF(AZ$4=$O85,"●","")</f>
        <v/>
      </c>
      <c r="BA85" s="48" t="str">
        <f aca="false">IF(BA$4=$O85,"●","")</f>
        <v/>
      </c>
      <c r="BB85" s="49" t="str">
        <f aca="false">IF(BB$4=$O85,"●","")</f>
        <v/>
      </c>
      <c r="BC85" s="49" t="str">
        <f aca="false">IF(BC$4=$O85,"●","")</f>
        <v/>
      </c>
      <c r="BD85" s="49" t="str">
        <f aca="false">IF(BD$4=$O85,"●","")</f>
        <v/>
      </c>
      <c r="BE85" s="49" t="str">
        <f aca="false">IF(BE$4=$O85,"●","")</f>
        <v/>
      </c>
      <c r="BF85" s="50" t="str">
        <f aca="false">IF(BF$4=$O85,"●","")</f>
        <v/>
      </c>
      <c r="BG85" s="50" t="str">
        <f aca="false">IF(BG$4=$O85,"●","")</f>
        <v/>
      </c>
      <c r="BH85" s="48" t="str">
        <f aca="false">IF(BH$4=$O85,"●","")</f>
        <v/>
      </c>
      <c r="BI85" s="49" t="str">
        <f aca="false">IF(BI$4=$O85,"●","")</f>
        <v/>
      </c>
      <c r="BJ85" s="49" t="str">
        <f aca="false">IF(BJ$4=$O85,"●","")</f>
        <v/>
      </c>
      <c r="BK85" s="49" t="str">
        <f aca="false">IF(BK$4=$O85,"●","")</f>
        <v/>
      </c>
      <c r="BL85" s="49" t="str">
        <f aca="false">IF(BL$4=$O85,"●","")</f>
        <v/>
      </c>
      <c r="BM85" s="50" t="str">
        <f aca="false">IF(BM$4=$O85,"●","")</f>
        <v/>
      </c>
      <c r="BN85" s="50" t="str">
        <f aca="false">IF(BN$4=$O85,"●","")</f>
        <v/>
      </c>
      <c r="BO85" s="48" t="str">
        <f aca="false">IF(BO$4=$O85,"●","")</f>
        <v/>
      </c>
      <c r="BP85" s="49" t="str">
        <f aca="false">IF(BP$4=$O85,"●","")</f>
        <v/>
      </c>
      <c r="BQ85" s="49" t="str">
        <f aca="false">IF(BQ$4=$O85,"●","")</f>
        <v/>
      </c>
      <c r="BR85" s="49" t="str">
        <f aca="false">IF(BR$4=$O85,"●","")</f>
        <v/>
      </c>
      <c r="BS85" s="49" t="str">
        <f aca="false">IF(BS$4=$O85,"●","")</f>
        <v/>
      </c>
      <c r="BT85" s="50" t="str">
        <f aca="false">IF(BT$4=$O85,"●","")</f>
        <v/>
      </c>
      <c r="BU85" s="50" t="str">
        <f aca="false">IF(BU$4=$O85,"●","")</f>
        <v/>
      </c>
      <c r="BV85" s="48" t="str">
        <f aca="false">IF(BV$4=$O85,"●","")</f>
        <v/>
      </c>
      <c r="BW85" s="49" t="str">
        <f aca="false">IF(BW$4=$O85,"●","")</f>
        <v>●</v>
      </c>
      <c r="BX85" s="49" t="str">
        <f aca="false">IF(BX$4=$O85,"●","")</f>
        <v/>
      </c>
      <c r="BY85" s="49" t="str">
        <f aca="false">IF(BY$4=$O85,"●","")</f>
        <v/>
      </c>
      <c r="BZ85" s="49" t="str">
        <f aca="false">IF(BZ$4=$O85,"●","")</f>
        <v/>
      </c>
      <c r="CA85" s="50" t="str">
        <f aca="false">IF(CA$4=$O85,"●","")</f>
        <v/>
      </c>
      <c r="CB85" s="50" t="str">
        <f aca="false">IF(CB$4=$O85,"●","")</f>
        <v/>
      </c>
    </row>
    <row r="86" customFormat="false" ht="15" hidden="false" customHeight="true" outlineLevel="1" collapsed="false">
      <c r="A86" s="31" t="s">
        <v>279</v>
      </c>
      <c r="B86" s="16" t="s">
        <v>280</v>
      </c>
      <c r="C86" s="17"/>
      <c r="D86" s="17"/>
      <c r="E86" s="18" t="s">
        <v>281</v>
      </c>
      <c r="F86" s="19"/>
      <c r="G86" s="20" t="s">
        <v>30</v>
      </c>
      <c r="H86" s="21" t="s">
        <v>282</v>
      </c>
      <c r="I86" s="47" t="s">
        <v>258</v>
      </c>
      <c r="J86" s="19"/>
      <c r="K86" s="15" t="s">
        <v>244</v>
      </c>
      <c r="L86" s="23" t="n">
        <v>46356</v>
      </c>
      <c r="M86" s="24" t="n">
        <v>1</v>
      </c>
      <c r="N86" s="23"/>
      <c r="O86" s="23" t="n">
        <f aca="false">IF(ISNUMBER(L86),L86+M86-1,"")</f>
        <v>46356</v>
      </c>
      <c r="P86" s="22" t="s">
        <v>41</v>
      </c>
      <c r="Q86" s="17"/>
      <c r="R86" s="48" t="str">
        <f aca="false">IF(R$4=$O86,"●","")</f>
        <v/>
      </c>
      <c r="S86" s="49" t="str">
        <f aca="false">IF(S$4=$O86,"●","")</f>
        <v/>
      </c>
      <c r="T86" s="49" t="str">
        <f aca="false">IF(T$4=$O86,"●","")</f>
        <v/>
      </c>
      <c r="U86" s="49" t="str">
        <f aca="false">IF(U$4=$O86,"●","")</f>
        <v/>
      </c>
      <c r="V86" s="49" t="str">
        <f aca="false">IF(V$4=$O86,"●","")</f>
        <v/>
      </c>
      <c r="W86" s="50" t="str">
        <f aca="false">IF(W$4=$O86,"●","")</f>
        <v/>
      </c>
      <c r="X86" s="50" t="str">
        <f aca="false">IF(X$4=$O86,"●","")</f>
        <v/>
      </c>
      <c r="Y86" s="48" t="str">
        <f aca="false">IF(Y$4=$O86,"●","")</f>
        <v/>
      </c>
      <c r="Z86" s="49" t="str">
        <f aca="false">IF(Z$4=$O86,"●","")</f>
        <v/>
      </c>
      <c r="AA86" s="49" t="str">
        <f aca="false">IF(AA$4=$O86,"●","")</f>
        <v/>
      </c>
      <c r="AB86" s="49" t="str">
        <f aca="false">IF(AB$4=$O86,"●","")</f>
        <v/>
      </c>
      <c r="AC86" s="49" t="str">
        <f aca="false">IF(AC$4=$O86,"●","")</f>
        <v/>
      </c>
      <c r="AD86" s="50" t="str">
        <f aca="false">IF(AD$4=$O86,"●","")</f>
        <v/>
      </c>
      <c r="AE86" s="50" t="str">
        <f aca="false">IF(AE$4=$O86,"●","")</f>
        <v/>
      </c>
      <c r="AF86" s="48" t="str">
        <f aca="false">IF(AF$4=$O86,"●","")</f>
        <v/>
      </c>
      <c r="AG86" s="49" t="str">
        <f aca="false">IF(AG$4=$O86,"●","")</f>
        <v/>
      </c>
      <c r="AH86" s="51" t="str">
        <f aca="false">IF(AH$4=$O86,"●","")</f>
        <v/>
      </c>
      <c r="AI86" s="49" t="str">
        <f aca="false">IF(AI$4=$O86,"●","")</f>
        <v/>
      </c>
      <c r="AJ86" s="49" t="str">
        <f aca="false">IF(AJ$4=$O86,"●","")</f>
        <v/>
      </c>
      <c r="AK86" s="50" t="str">
        <f aca="false">IF(AK$4=$O86,"●","")</f>
        <v/>
      </c>
      <c r="AL86" s="50" t="str">
        <f aca="false">IF(AL$4=$O86,"●","")</f>
        <v/>
      </c>
      <c r="AM86" s="48" t="str">
        <f aca="false">IF(AM$4=$O86,"●","")</f>
        <v/>
      </c>
      <c r="AN86" s="49" t="str">
        <f aca="false">IF(AN$4=$O86,"●","")</f>
        <v/>
      </c>
      <c r="AO86" s="49" t="str">
        <f aca="false">IF(AO$4=$O86,"●","")</f>
        <v/>
      </c>
      <c r="AP86" s="49" t="str">
        <f aca="false">IF(AP$4=$O86,"●","")</f>
        <v/>
      </c>
      <c r="AQ86" s="49" t="str">
        <f aca="false">IF(AQ$4=$O86,"●","")</f>
        <v/>
      </c>
      <c r="AR86" s="50" t="str">
        <f aca="false">IF(AR$4=$O86,"●","")</f>
        <v/>
      </c>
      <c r="AS86" s="50" t="str">
        <f aca="false">IF(AS$4=$O86,"●","")</f>
        <v/>
      </c>
      <c r="AT86" s="48" t="str">
        <f aca="false">IF(AT$4=$O86,"●","")</f>
        <v/>
      </c>
      <c r="AU86" s="49" t="str">
        <f aca="false">IF(AU$4=$O86,"●","")</f>
        <v/>
      </c>
      <c r="AV86" s="49" t="str">
        <f aca="false">IF(AV$4=$O86,"●","")</f>
        <v/>
      </c>
      <c r="AW86" s="49" t="str">
        <f aca="false">IF(AW$4=$O86,"●","")</f>
        <v/>
      </c>
      <c r="AX86" s="49" t="str">
        <f aca="false">IF(AX$4=$O86,"●","")</f>
        <v/>
      </c>
      <c r="AY86" s="50" t="str">
        <f aca="false">IF(AY$4=$O86,"●","")</f>
        <v/>
      </c>
      <c r="AZ86" s="50" t="str">
        <f aca="false">IF(AZ$4=$O86,"●","")</f>
        <v/>
      </c>
      <c r="BA86" s="48" t="str">
        <f aca="false">IF(BA$4=$O86,"●","")</f>
        <v/>
      </c>
      <c r="BB86" s="49" t="str">
        <f aca="false">IF(BB$4=$O86,"●","")</f>
        <v/>
      </c>
      <c r="BC86" s="49" t="str">
        <f aca="false">IF(BC$4=$O86,"●","")</f>
        <v/>
      </c>
      <c r="BD86" s="49" t="str">
        <f aca="false">IF(BD$4=$O86,"●","")</f>
        <v/>
      </c>
      <c r="BE86" s="49" t="str">
        <f aca="false">IF(BE$4=$O86,"●","")</f>
        <v/>
      </c>
      <c r="BF86" s="50" t="str">
        <f aca="false">IF(BF$4=$O86,"●","")</f>
        <v/>
      </c>
      <c r="BG86" s="50" t="str">
        <f aca="false">IF(BG$4=$O86,"●","")</f>
        <v/>
      </c>
      <c r="BH86" s="48" t="str">
        <f aca="false">IF(BH$4=$O86,"●","")</f>
        <v>●</v>
      </c>
      <c r="BI86" s="49" t="str">
        <f aca="false">IF(BI$4=$O86,"●","")</f>
        <v/>
      </c>
      <c r="BJ86" s="49" t="str">
        <f aca="false">IF(BJ$4=$O86,"●","")</f>
        <v/>
      </c>
      <c r="BK86" s="49" t="str">
        <f aca="false">IF(BK$4=$O86,"●","")</f>
        <v/>
      </c>
      <c r="BL86" s="49" t="str">
        <f aca="false">IF(BL$4=$O86,"●","")</f>
        <v/>
      </c>
      <c r="BM86" s="50" t="str">
        <f aca="false">IF(BM$4=$O86,"●","")</f>
        <v/>
      </c>
      <c r="BN86" s="50" t="str">
        <f aca="false">IF(BN$4=$O86,"●","")</f>
        <v/>
      </c>
      <c r="BO86" s="48" t="str">
        <f aca="false">IF(BO$4=$O86,"●","")</f>
        <v/>
      </c>
      <c r="BP86" s="49" t="str">
        <f aca="false">IF(BP$4=$O86,"●","")</f>
        <v/>
      </c>
      <c r="BQ86" s="49" t="str">
        <f aca="false">IF(BQ$4=$O86,"●","")</f>
        <v/>
      </c>
      <c r="BR86" s="49" t="str">
        <f aca="false">IF(BR$4=$O86,"●","")</f>
        <v/>
      </c>
      <c r="BS86" s="49" t="str">
        <f aca="false">IF(BS$4=$O86,"●","")</f>
        <v/>
      </c>
      <c r="BT86" s="50" t="str">
        <f aca="false">IF(BT$4=$O86,"●","")</f>
        <v/>
      </c>
      <c r="BU86" s="50" t="str">
        <f aca="false">IF(BU$4=$O86,"●","")</f>
        <v/>
      </c>
      <c r="BV86" s="48" t="str">
        <f aca="false">IF(BV$4=$O86,"●","")</f>
        <v/>
      </c>
      <c r="BW86" s="49" t="str">
        <f aca="false">IF(BW$4=$O86,"●","")</f>
        <v/>
      </c>
      <c r="BX86" s="49" t="str">
        <f aca="false">IF(BX$4=$O86,"●","")</f>
        <v/>
      </c>
      <c r="BY86" s="49" t="str">
        <f aca="false">IF(BY$4=$O86,"●","")</f>
        <v/>
      </c>
      <c r="BZ86" s="49" t="str">
        <f aca="false">IF(BZ$4=$O86,"●","")</f>
        <v/>
      </c>
      <c r="CA86" s="50" t="str">
        <f aca="false">IF(CA$4=$O86,"●","")</f>
        <v/>
      </c>
      <c r="CB86" s="50" t="str">
        <f aca="false">IF(CB$4=$O86,"●","")</f>
        <v/>
      </c>
    </row>
    <row r="87" customFormat="false" ht="15" hidden="false" customHeight="true" outlineLevel="1" collapsed="false">
      <c r="A87" s="31" t="s">
        <v>283</v>
      </c>
      <c r="B87" s="16" t="s">
        <v>284</v>
      </c>
      <c r="C87" s="17"/>
      <c r="D87" s="17"/>
      <c r="E87" s="18" t="s">
        <v>285</v>
      </c>
      <c r="F87" s="19"/>
      <c r="G87" s="20" t="s">
        <v>30</v>
      </c>
      <c r="H87" s="21" t="s">
        <v>286</v>
      </c>
      <c r="I87" s="47" t="s">
        <v>258</v>
      </c>
      <c r="J87" s="19"/>
      <c r="K87" s="15" t="s">
        <v>244</v>
      </c>
      <c r="L87" s="23" t="n">
        <v>46364</v>
      </c>
      <c r="M87" s="24" t="n">
        <v>1</v>
      </c>
      <c r="N87" s="23"/>
      <c r="O87" s="23" t="n">
        <f aca="false">IF(ISNUMBER(L87),L87+M87-1,"")</f>
        <v>46364</v>
      </c>
      <c r="P87" s="22" t="s">
        <v>41</v>
      </c>
      <c r="Q87" s="17"/>
      <c r="R87" s="48" t="str">
        <f aca="false">IF(R$4=$O87,"●","")</f>
        <v/>
      </c>
      <c r="S87" s="49" t="str">
        <f aca="false">IF(S$4=$O87,"●","")</f>
        <v/>
      </c>
      <c r="T87" s="49" t="str">
        <f aca="false">IF(T$4=$O87,"●","")</f>
        <v/>
      </c>
      <c r="U87" s="49" t="str">
        <f aca="false">IF(U$4=$O87,"●","")</f>
        <v/>
      </c>
      <c r="V87" s="49" t="str">
        <f aca="false">IF(V$4=$O87,"●","")</f>
        <v/>
      </c>
      <c r="W87" s="50" t="str">
        <f aca="false">IF(W$4=$O87,"●","")</f>
        <v/>
      </c>
      <c r="X87" s="50" t="str">
        <f aca="false">IF(X$4=$O87,"●","")</f>
        <v/>
      </c>
      <c r="Y87" s="48" t="str">
        <f aca="false">IF(Y$4=$O87,"●","")</f>
        <v/>
      </c>
      <c r="Z87" s="49" t="str">
        <f aca="false">IF(Z$4=$O87,"●","")</f>
        <v/>
      </c>
      <c r="AA87" s="49" t="str">
        <f aca="false">IF(AA$4=$O87,"●","")</f>
        <v/>
      </c>
      <c r="AB87" s="49" t="str">
        <f aca="false">IF(AB$4=$O87,"●","")</f>
        <v/>
      </c>
      <c r="AC87" s="49" t="str">
        <f aca="false">IF(AC$4=$O87,"●","")</f>
        <v/>
      </c>
      <c r="AD87" s="50" t="str">
        <f aca="false">IF(AD$4=$O87,"●","")</f>
        <v/>
      </c>
      <c r="AE87" s="50" t="str">
        <f aca="false">IF(AE$4=$O87,"●","")</f>
        <v/>
      </c>
      <c r="AF87" s="48" t="str">
        <f aca="false">IF(AF$4=$O87,"●","")</f>
        <v/>
      </c>
      <c r="AG87" s="49" t="str">
        <f aca="false">IF(AG$4=$O87,"●","")</f>
        <v/>
      </c>
      <c r="AH87" s="51" t="str">
        <f aca="false">IF(AH$4=$O87,"●","")</f>
        <v/>
      </c>
      <c r="AI87" s="49" t="str">
        <f aca="false">IF(AI$4=$O87,"●","")</f>
        <v/>
      </c>
      <c r="AJ87" s="49" t="str">
        <f aca="false">IF(AJ$4=$O87,"●","")</f>
        <v/>
      </c>
      <c r="AK87" s="50" t="str">
        <f aca="false">IF(AK$4=$O87,"●","")</f>
        <v/>
      </c>
      <c r="AL87" s="50" t="str">
        <f aca="false">IF(AL$4=$O87,"●","")</f>
        <v/>
      </c>
      <c r="AM87" s="48" t="str">
        <f aca="false">IF(AM$4=$O87,"●","")</f>
        <v/>
      </c>
      <c r="AN87" s="49" t="str">
        <f aca="false">IF(AN$4=$O87,"●","")</f>
        <v/>
      </c>
      <c r="AO87" s="49" t="str">
        <f aca="false">IF(AO$4=$O87,"●","")</f>
        <v/>
      </c>
      <c r="AP87" s="49" t="str">
        <f aca="false">IF(AP$4=$O87,"●","")</f>
        <v/>
      </c>
      <c r="AQ87" s="49" t="str">
        <f aca="false">IF(AQ$4=$O87,"●","")</f>
        <v/>
      </c>
      <c r="AR87" s="50" t="str">
        <f aca="false">IF(AR$4=$O87,"●","")</f>
        <v/>
      </c>
      <c r="AS87" s="50" t="str">
        <f aca="false">IF(AS$4=$O87,"●","")</f>
        <v/>
      </c>
      <c r="AT87" s="48" t="str">
        <f aca="false">IF(AT$4=$O87,"●","")</f>
        <v/>
      </c>
      <c r="AU87" s="49" t="str">
        <f aca="false">IF(AU$4=$O87,"●","")</f>
        <v/>
      </c>
      <c r="AV87" s="49" t="str">
        <f aca="false">IF(AV$4=$O87,"●","")</f>
        <v/>
      </c>
      <c r="AW87" s="49" t="str">
        <f aca="false">IF(AW$4=$O87,"●","")</f>
        <v/>
      </c>
      <c r="AX87" s="49" t="str">
        <f aca="false">IF(AX$4=$O87,"●","")</f>
        <v/>
      </c>
      <c r="AY87" s="50" t="str">
        <f aca="false">IF(AY$4=$O87,"●","")</f>
        <v/>
      </c>
      <c r="AZ87" s="50" t="str">
        <f aca="false">IF(AZ$4=$O87,"●","")</f>
        <v/>
      </c>
      <c r="BA87" s="48" t="str">
        <f aca="false">IF(BA$4=$O87,"●","")</f>
        <v/>
      </c>
      <c r="BB87" s="49" t="str">
        <f aca="false">IF(BB$4=$O87,"●","")</f>
        <v/>
      </c>
      <c r="BC87" s="49" t="str">
        <f aca="false">IF(BC$4=$O87,"●","")</f>
        <v/>
      </c>
      <c r="BD87" s="49" t="str">
        <f aca="false">IF(BD$4=$O87,"●","")</f>
        <v/>
      </c>
      <c r="BE87" s="49" t="str">
        <f aca="false">IF(BE$4=$O87,"●","")</f>
        <v/>
      </c>
      <c r="BF87" s="50" t="str">
        <f aca="false">IF(BF$4=$O87,"●","")</f>
        <v/>
      </c>
      <c r="BG87" s="50" t="str">
        <f aca="false">IF(BG$4=$O87,"●","")</f>
        <v/>
      </c>
      <c r="BH87" s="48" t="str">
        <f aca="false">IF(BH$4=$O87,"●","")</f>
        <v/>
      </c>
      <c r="BI87" s="49" t="str">
        <f aca="false">IF(BI$4=$O87,"●","")</f>
        <v/>
      </c>
      <c r="BJ87" s="49" t="str">
        <f aca="false">IF(BJ$4=$O87,"●","")</f>
        <v/>
      </c>
      <c r="BK87" s="49" t="str">
        <f aca="false">IF(BK$4=$O87,"●","")</f>
        <v/>
      </c>
      <c r="BL87" s="49" t="str">
        <f aca="false">IF(BL$4=$O87,"●","")</f>
        <v/>
      </c>
      <c r="BM87" s="50" t="str">
        <f aca="false">IF(BM$4=$O87,"●","")</f>
        <v/>
      </c>
      <c r="BN87" s="50" t="str">
        <f aca="false">IF(BN$4=$O87,"●","")</f>
        <v/>
      </c>
      <c r="BO87" s="48" t="str">
        <f aca="false">IF(BO$4=$O87,"●","")</f>
        <v/>
      </c>
      <c r="BP87" s="49" t="str">
        <f aca="false">IF(BP$4=$O87,"●","")</f>
        <v>●</v>
      </c>
      <c r="BQ87" s="49" t="str">
        <f aca="false">IF(BQ$4=$O87,"●","")</f>
        <v/>
      </c>
      <c r="BR87" s="49" t="str">
        <f aca="false">IF(BR$4=$O87,"●","")</f>
        <v/>
      </c>
      <c r="BS87" s="49" t="str">
        <f aca="false">IF(BS$4=$O87,"●","")</f>
        <v/>
      </c>
      <c r="BT87" s="50" t="str">
        <f aca="false">IF(BT$4=$O87,"●","")</f>
        <v/>
      </c>
      <c r="BU87" s="50" t="str">
        <f aca="false">IF(BU$4=$O87,"●","")</f>
        <v/>
      </c>
      <c r="BV87" s="48" t="str">
        <f aca="false">IF(BV$4=$O87,"●","")</f>
        <v/>
      </c>
      <c r="BW87" s="49" t="str">
        <f aca="false">IF(BW$4=$O87,"●","")</f>
        <v/>
      </c>
      <c r="BX87" s="49" t="str">
        <f aca="false">IF(BX$4=$O87,"●","")</f>
        <v/>
      </c>
      <c r="BY87" s="49" t="str">
        <f aca="false">IF(BY$4=$O87,"●","")</f>
        <v/>
      </c>
      <c r="BZ87" s="49" t="str">
        <f aca="false">IF(BZ$4=$O87,"●","")</f>
        <v/>
      </c>
      <c r="CA87" s="50" t="str">
        <f aca="false">IF(CA$4=$O87,"●","")</f>
        <v/>
      </c>
      <c r="CB87" s="50" t="str">
        <f aca="false">IF(CB$4=$O87,"●","")</f>
        <v/>
      </c>
    </row>
    <row r="88" customFormat="false" ht="15" hidden="false" customHeight="true" outlineLevel="1" collapsed="false">
      <c r="A88" s="31" t="s">
        <v>287</v>
      </c>
      <c r="B88" s="16" t="s">
        <v>288</v>
      </c>
      <c r="C88" s="17"/>
      <c r="D88" s="17"/>
      <c r="E88" s="18" t="s">
        <v>289</v>
      </c>
      <c r="F88" s="19"/>
      <c r="G88" s="20" t="s">
        <v>30</v>
      </c>
      <c r="H88" s="21" t="s">
        <v>31</v>
      </c>
      <c r="I88" s="47" t="s">
        <v>258</v>
      </c>
      <c r="J88" s="19"/>
      <c r="K88" s="15" t="s">
        <v>244</v>
      </c>
      <c r="L88" s="23" t="n">
        <v>46364</v>
      </c>
      <c r="M88" s="24" t="n">
        <v>1</v>
      </c>
      <c r="N88" s="23"/>
      <c r="O88" s="23" t="n">
        <f aca="false">IF(ISNUMBER(L88),L88+M88-1,"")</f>
        <v>46364</v>
      </c>
      <c r="P88" s="22" t="s">
        <v>41</v>
      </c>
      <c r="Q88" s="17"/>
      <c r="R88" s="48" t="str">
        <f aca="false">IF(R$4=$O88,"●","")</f>
        <v/>
      </c>
      <c r="S88" s="49" t="str">
        <f aca="false">IF(S$4=$O88,"●","")</f>
        <v/>
      </c>
      <c r="T88" s="49" t="str">
        <f aca="false">IF(T$4=$O88,"●","")</f>
        <v/>
      </c>
      <c r="U88" s="49" t="str">
        <f aca="false">IF(U$4=$O88,"●","")</f>
        <v/>
      </c>
      <c r="V88" s="49" t="str">
        <f aca="false">IF(V$4=$O88,"●","")</f>
        <v/>
      </c>
      <c r="W88" s="50" t="str">
        <f aca="false">IF(W$4=$O88,"●","")</f>
        <v/>
      </c>
      <c r="X88" s="50" t="str">
        <f aca="false">IF(X$4=$O88,"●","")</f>
        <v/>
      </c>
      <c r="Y88" s="48" t="str">
        <f aca="false">IF(Y$4=$O88,"●","")</f>
        <v/>
      </c>
      <c r="Z88" s="49" t="str">
        <f aca="false">IF(Z$4=$O88,"●","")</f>
        <v/>
      </c>
      <c r="AA88" s="49" t="str">
        <f aca="false">IF(AA$4=$O88,"●","")</f>
        <v/>
      </c>
      <c r="AB88" s="49" t="str">
        <f aca="false">IF(AB$4=$O88,"●","")</f>
        <v/>
      </c>
      <c r="AC88" s="49" t="str">
        <f aca="false">IF(AC$4=$O88,"●","")</f>
        <v/>
      </c>
      <c r="AD88" s="50" t="str">
        <f aca="false">IF(AD$4=$O88,"●","")</f>
        <v/>
      </c>
      <c r="AE88" s="50" t="str">
        <f aca="false">IF(AE$4=$O88,"●","")</f>
        <v/>
      </c>
      <c r="AF88" s="48" t="str">
        <f aca="false">IF(AF$4=$O88,"●","")</f>
        <v/>
      </c>
      <c r="AG88" s="49" t="str">
        <f aca="false">IF(AG$4=$O88,"●","")</f>
        <v/>
      </c>
      <c r="AH88" s="51" t="str">
        <f aca="false">IF(AH$4=$O88,"●","")</f>
        <v/>
      </c>
      <c r="AI88" s="49" t="str">
        <f aca="false">IF(AI$4=$O88,"●","")</f>
        <v/>
      </c>
      <c r="AJ88" s="49" t="str">
        <f aca="false">IF(AJ$4=$O88,"●","")</f>
        <v/>
      </c>
      <c r="AK88" s="50" t="str">
        <f aca="false">IF(AK$4=$O88,"●","")</f>
        <v/>
      </c>
      <c r="AL88" s="50" t="str">
        <f aca="false">IF(AL$4=$O88,"●","")</f>
        <v/>
      </c>
      <c r="AM88" s="48" t="str">
        <f aca="false">IF(AM$4=$O88,"●","")</f>
        <v/>
      </c>
      <c r="AN88" s="49" t="str">
        <f aca="false">IF(AN$4=$O88,"●","")</f>
        <v/>
      </c>
      <c r="AO88" s="49" t="str">
        <f aca="false">IF(AO$4=$O88,"●","")</f>
        <v/>
      </c>
      <c r="AP88" s="49" t="str">
        <f aca="false">IF(AP$4=$O88,"●","")</f>
        <v/>
      </c>
      <c r="AQ88" s="49" t="str">
        <f aca="false">IF(AQ$4=$O88,"●","")</f>
        <v/>
      </c>
      <c r="AR88" s="50" t="str">
        <f aca="false">IF(AR$4=$O88,"●","")</f>
        <v/>
      </c>
      <c r="AS88" s="50" t="str">
        <f aca="false">IF(AS$4=$O88,"●","")</f>
        <v/>
      </c>
      <c r="AT88" s="48" t="str">
        <f aca="false">IF(AT$4=$O88,"●","")</f>
        <v/>
      </c>
      <c r="AU88" s="49" t="str">
        <f aca="false">IF(AU$4=$O88,"●","")</f>
        <v/>
      </c>
      <c r="AV88" s="49" t="str">
        <f aca="false">IF(AV$4=$O88,"●","")</f>
        <v/>
      </c>
      <c r="AW88" s="49" t="str">
        <f aca="false">IF(AW$4=$O88,"●","")</f>
        <v/>
      </c>
      <c r="AX88" s="49" t="str">
        <f aca="false">IF(AX$4=$O88,"●","")</f>
        <v/>
      </c>
      <c r="AY88" s="50" t="str">
        <f aca="false">IF(AY$4=$O88,"●","")</f>
        <v/>
      </c>
      <c r="AZ88" s="50" t="str">
        <f aca="false">IF(AZ$4=$O88,"●","")</f>
        <v/>
      </c>
      <c r="BA88" s="48" t="str">
        <f aca="false">IF(BA$4=$O88,"●","")</f>
        <v/>
      </c>
      <c r="BB88" s="49" t="str">
        <f aca="false">IF(BB$4=$O88,"●","")</f>
        <v/>
      </c>
      <c r="BC88" s="49" t="str">
        <f aca="false">IF(BC$4=$O88,"●","")</f>
        <v/>
      </c>
      <c r="BD88" s="49" t="str">
        <f aca="false">IF(BD$4=$O88,"●","")</f>
        <v/>
      </c>
      <c r="BE88" s="49" t="str">
        <f aca="false">IF(BE$4=$O88,"●","")</f>
        <v/>
      </c>
      <c r="BF88" s="50" t="str">
        <f aca="false">IF(BF$4=$O88,"●","")</f>
        <v/>
      </c>
      <c r="BG88" s="50" t="str">
        <f aca="false">IF(BG$4=$O88,"●","")</f>
        <v/>
      </c>
      <c r="BH88" s="48" t="str">
        <f aca="false">IF(BH$4=$O88,"●","")</f>
        <v/>
      </c>
      <c r="BI88" s="49" t="str">
        <f aca="false">IF(BI$4=$O88,"●","")</f>
        <v/>
      </c>
      <c r="BJ88" s="49" t="str">
        <f aca="false">IF(BJ$4=$O88,"●","")</f>
        <v/>
      </c>
      <c r="BK88" s="49" t="str">
        <f aca="false">IF(BK$4=$O88,"●","")</f>
        <v/>
      </c>
      <c r="BL88" s="49" t="str">
        <f aca="false">IF(BL$4=$O88,"●","")</f>
        <v/>
      </c>
      <c r="BM88" s="50" t="str">
        <f aca="false">IF(BM$4=$O88,"●","")</f>
        <v/>
      </c>
      <c r="BN88" s="50" t="str">
        <f aca="false">IF(BN$4=$O88,"●","")</f>
        <v/>
      </c>
      <c r="BO88" s="48" t="str">
        <f aca="false">IF(BO$4=$O88,"●","")</f>
        <v/>
      </c>
      <c r="BP88" s="49" t="str">
        <f aca="false">IF(BP$4=$O88,"●","")</f>
        <v>●</v>
      </c>
      <c r="BQ88" s="49" t="str">
        <f aca="false">IF(BQ$4=$O88,"●","")</f>
        <v/>
      </c>
      <c r="BR88" s="49" t="str">
        <f aca="false">IF(BR$4=$O88,"●","")</f>
        <v/>
      </c>
      <c r="BS88" s="49" t="str">
        <f aca="false">IF(BS$4=$O88,"●","")</f>
        <v/>
      </c>
      <c r="BT88" s="50" t="str">
        <f aca="false">IF(BT$4=$O88,"●","")</f>
        <v/>
      </c>
      <c r="BU88" s="50" t="str">
        <f aca="false">IF(BU$4=$O88,"●","")</f>
        <v/>
      </c>
      <c r="BV88" s="48" t="str">
        <f aca="false">IF(BV$4=$O88,"●","")</f>
        <v/>
      </c>
      <c r="BW88" s="49" t="str">
        <f aca="false">IF(BW$4=$O88,"●","")</f>
        <v/>
      </c>
      <c r="BX88" s="49" t="str">
        <f aca="false">IF(BX$4=$O88,"●","")</f>
        <v/>
      </c>
      <c r="BY88" s="49" t="str">
        <f aca="false">IF(BY$4=$O88,"●","")</f>
        <v/>
      </c>
      <c r="BZ88" s="49" t="str">
        <f aca="false">IF(BZ$4=$O88,"●","")</f>
        <v/>
      </c>
      <c r="CA88" s="50" t="str">
        <f aca="false">IF(CA$4=$O88,"●","")</f>
        <v/>
      </c>
      <c r="CB88" s="50" t="str">
        <f aca="false">IF(CB$4=$O88,"●","")</f>
        <v/>
      </c>
    </row>
    <row r="89" customFormat="false" ht="3.75" hidden="false" customHeight="true" outlineLevel="0" collapsed="false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</row>
    <row r="90" customFormat="false" ht="18" hidden="false" customHeight="true" outlineLevel="0" collapsed="false">
      <c r="A90" s="13" t="s">
        <v>290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</row>
    <row r="91" customFormat="false" ht="15" hidden="false" customHeight="true" outlineLevel="1" collapsed="false">
      <c r="A91" s="15" t="s">
        <v>291</v>
      </c>
      <c r="B91" s="16" t="s">
        <v>292</v>
      </c>
      <c r="C91" s="17"/>
      <c r="D91" s="17"/>
      <c r="E91" s="18" t="s">
        <v>293</v>
      </c>
      <c r="F91" s="19"/>
      <c r="G91" s="20" t="s">
        <v>30</v>
      </c>
      <c r="H91" s="21" t="s">
        <v>31</v>
      </c>
      <c r="I91" s="22" t="s">
        <v>54</v>
      </c>
      <c r="J91" s="19"/>
      <c r="K91" s="15" t="s">
        <v>294</v>
      </c>
      <c r="L91" s="23" t="n">
        <v>46357</v>
      </c>
      <c r="M91" s="24" t="n">
        <v>5</v>
      </c>
      <c r="N91" s="23"/>
      <c r="O91" s="23" t="n">
        <f aca="false">IF(ISNUMBER(L91),L91+M91-1,"")</f>
        <v>46361</v>
      </c>
      <c r="P91" s="22" t="s">
        <v>41</v>
      </c>
      <c r="Q91" s="17"/>
      <c r="R91" s="27"/>
      <c r="S91" s="17"/>
      <c r="T91" s="17"/>
      <c r="U91" s="17"/>
      <c r="V91" s="17"/>
      <c r="W91" s="26"/>
      <c r="X91" s="26"/>
      <c r="Y91" s="27"/>
      <c r="Z91" s="17"/>
      <c r="AA91" s="17"/>
      <c r="AB91" s="17"/>
      <c r="AC91" s="17"/>
      <c r="AD91" s="26"/>
      <c r="AE91" s="26"/>
      <c r="AF91" s="27"/>
      <c r="AG91" s="17"/>
      <c r="AH91" s="28"/>
      <c r="AI91" s="17"/>
      <c r="AJ91" s="17"/>
      <c r="AK91" s="26"/>
      <c r="AL91" s="26"/>
      <c r="AM91" s="27"/>
      <c r="AN91" s="17"/>
      <c r="AO91" s="17"/>
      <c r="AP91" s="17"/>
      <c r="AQ91" s="17"/>
      <c r="AR91" s="26"/>
      <c r="AS91" s="26"/>
      <c r="AT91" s="27"/>
      <c r="AU91" s="17"/>
      <c r="AV91" s="17"/>
      <c r="AW91" s="17"/>
      <c r="AX91" s="17"/>
      <c r="AY91" s="26"/>
      <c r="AZ91" s="26"/>
      <c r="BA91" s="27"/>
      <c r="BB91" s="17"/>
      <c r="BC91" s="17"/>
      <c r="BD91" s="17"/>
      <c r="BE91" s="17"/>
      <c r="BF91" s="26"/>
      <c r="BG91" s="26"/>
      <c r="BH91" s="27"/>
      <c r="BI91" s="17"/>
      <c r="BJ91" s="17"/>
      <c r="BK91" s="17"/>
      <c r="BL91" s="17"/>
      <c r="BM91" s="26"/>
      <c r="BN91" s="26"/>
      <c r="BO91" s="27"/>
      <c r="BP91" s="17"/>
      <c r="BQ91" s="17"/>
      <c r="BR91" s="17"/>
      <c r="BS91" s="17"/>
      <c r="BT91" s="26"/>
      <c r="BU91" s="26"/>
      <c r="BV91" s="27"/>
      <c r="BW91" s="17"/>
      <c r="BX91" s="17"/>
      <c r="BY91" s="17"/>
      <c r="BZ91" s="17"/>
      <c r="CA91" s="26"/>
      <c r="CB91" s="26"/>
    </row>
    <row r="92" customFormat="false" ht="15" hidden="false" customHeight="true" outlineLevel="1" collapsed="false">
      <c r="A92" s="15" t="s">
        <v>295</v>
      </c>
      <c r="B92" s="16" t="s">
        <v>296</v>
      </c>
      <c r="C92" s="17"/>
      <c r="D92" s="17"/>
      <c r="E92" s="18" t="s">
        <v>297</v>
      </c>
      <c r="F92" s="19"/>
      <c r="G92" s="20" t="s">
        <v>30</v>
      </c>
      <c r="H92" s="21" t="s">
        <v>228</v>
      </c>
      <c r="I92" s="22" t="s">
        <v>54</v>
      </c>
      <c r="J92" s="19"/>
      <c r="K92" s="15" t="s">
        <v>294</v>
      </c>
      <c r="L92" s="23"/>
      <c r="M92" s="24"/>
      <c r="N92" s="23"/>
      <c r="O92" s="23"/>
      <c r="P92" s="22" t="s">
        <v>233</v>
      </c>
      <c r="Q92" s="17"/>
      <c r="R92" s="25" t="s">
        <v>298</v>
      </c>
      <c r="S92" s="17"/>
      <c r="T92" s="17"/>
      <c r="U92" s="17"/>
      <c r="V92" s="17"/>
      <c r="W92" s="26"/>
      <c r="X92" s="26"/>
      <c r="Y92" s="27"/>
      <c r="Z92" s="17"/>
      <c r="AA92" s="17"/>
      <c r="AB92" s="17"/>
      <c r="AC92" s="17"/>
      <c r="AD92" s="26"/>
      <c r="AE92" s="26"/>
      <c r="AF92" s="27"/>
      <c r="AG92" s="17"/>
      <c r="AH92" s="28"/>
      <c r="AI92" s="17"/>
      <c r="AJ92" s="17"/>
      <c r="AK92" s="26"/>
      <c r="AL92" s="26"/>
      <c r="AM92" s="27"/>
      <c r="AN92" s="17"/>
      <c r="AO92" s="17"/>
      <c r="AP92" s="17"/>
      <c r="AQ92" s="17"/>
      <c r="AR92" s="26"/>
      <c r="AS92" s="26"/>
      <c r="AT92" s="27"/>
      <c r="AU92" s="17"/>
      <c r="AV92" s="17"/>
      <c r="AW92" s="17"/>
      <c r="AX92" s="17"/>
      <c r="AY92" s="26"/>
      <c r="AZ92" s="26"/>
      <c r="BA92" s="27"/>
      <c r="BB92" s="17"/>
      <c r="BC92" s="17"/>
      <c r="BD92" s="17"/>
      <c r="BE92" s="17"/>
      <c r="BF92" s="26"/>
      <c r="BG92" s="26"/>
      <c r="BH92" s="27"/>
      <c r="BI92" s="17"/>
      <c r="BJ92" s="17"/>
      <c r="BK92" s="17"/>
      <c r="BL92" s="17"/>
      <c r="BM92" s="26"/>
      <c r="BN92" s="26"/>
      <c r="BO92" s="27"/>
      <c r="BP92" s="17"/>
      <c r="BQ92" s="17"/>
      <c r="BR92" s="17"/>
      <c r="BS92" s="17"/>
      <c r="BT92" s="26"/>
      <c r="BU92" s="26"/>
      <c r="BV92" s="27"/>
      <c r="BW92" s="17"/>
      <c r="BX92" s="17"/>
      <c r="BY92" s="17"/>
      <c r="BZ92" s="17"/>
      <c r="CA92" s="26"/>
      <c r="CB92" s="26"/>
    </row>
    <row r="93" customFormat="false" ht="15" hidden="false" customHeight="true" outlineLevel="1" collapsed="false">
      <c r="A93" s="15" t="s">
        <v>299</v>
      </c>
      <c r="B93" s="16" t="s">
        <v>300</v>
      </c>
      <c r="C93" s="17"/>
      <c r="D93" s="17"/>
      <c r="E93" s="18" t="s">
        <v>301</v>
      </c>
      <c r="F93" s="19"/>
      <c r="G93" s="20" t="s">
        <v>30</v>
      </c>
      <c r="H93" s="21" t="s">
        <v>228</v>
      </c>
      <c r="I93" s="22" t="s">
        <v>54</v>
      </c>
      <c r="J93" s="19"/>
      <c r="K93" s="15" t="s">
        <v>294</v>
      </c>
      <c r="L93" s="23"/>
      <c r="M93" s="24"/>
      <c r="N93" s="23"/>
      <c r="O93" s="23"/>
      <c r="P93" s="22" t="s">
        <v>233</v>
      </c>
      <c r="Q93" s="17"/>
      <c r="R93" s="25" t="s">
        <v>302</v>
      </c>
      <c r="S93" s="17"/>
      <c r="T93" s="17"/>
      <c r="U93" s="17"/>
      <c r="V93" s="17"/>
      <c r="W93" s="26"/>
      <c r="X93" s="26"/>
      <c r="Y93" s="27"/>
      <c r="Z93" s="17"/>
      <c r="AA93" s="17"/>
      <c r="AB93" s="17"/>
      <c r="AC93" s="17"/>
      <c r="AD93" s="26"/>
      <c r="AE93" s="26"/>
      <c r="AF93" s="27"/>
      <c r="AG93" s="17"/>
      <c r="AH93" s="28"/>
      <c r="AI93" s="17"/>
      <c r="AJ93" s="17"/>
      <c r="AK93" s="26"/>
      <c r="AL93" s="26"/>
      <c r="AM93" s="27"/>
      <c r="AN93" s="17"/>
      <c r="AO93" s="17"/>
      <c r="AP93" s="17"/>
      <c r="AQ93" s="17"/>
      <c r="AR93" s="26"/>
      <c r="AS93" s="26"/>
      <c r="AT93" s="27"/>
      <c r="AU93" s="17"/>
      <c r="AV93" s="17"/>
      <c r="AW93" s="17"/>
      <c r="AX93" s="17"/>
      <c r="AY93" s="26"/>
      <c r="AZ93" s="26"/>
      <c r="BA93" s="27"/>
      <c r="BB93" s="17"/>
      <c r="BC93" s="17"/>
      <c r="BD93" s="17"/>
      <c r="BE93" s="17"/>
      <c r="BF93" s="26"/>
      <c r="BG93" s="26"/>
      <c r="BH93" s="27"/>
      <c r="BI93" s="17"/>
      <c r="BJ93" s="17"/>
      <c r="BK93" s="17"/>
      <c r="BL93" s="17"/>
      <c r="BM93" s="26"/>
      <c r="BN93" s="26"/>
      <c r="BO93" s="27"/>
      <c r="BP93" s="17"/>
      <c r="BQ93" s="17"/>
      <c r="BR93" s="17"/>
      <c r="BS93" s="17"/>
      <c r="BT93" s="26"/>
      <c r="BU93" s="26"/>
      <c r="BV93" s="27"/>
      <c r="BW93" s="17"/>
      <c r="BX93" s="17"/>
      <c r="BY93" s="17"/>
      <c r="BZ93" s="17"/>
      <c r="CA93" s="26"/>
      <c r="CB93" s="26"/>
    </row>
    <row r="94" customFormat="false" ht="15" hidden="false" customHeight="true" outlineLevel="1" collapsed="false">
      <c r="A94" s="15" t="s">
        <v>303</v>
      </c>
      <c r="B94" s="16" t="s">
        <v>304</v>
      </c>
      <c r="C94" s="17"/>
      <c r="D94" s="17"/>
      <c r="E94" s="18" t="s">
        <v>305</v>
      </c>
      <c r="F94" s="19"/>
      <c r="G94" s="20" t="s">
        <v>30</v>
      </c>
      <c r="H94" s="21" t="s">
        <v>228</v>
      </c>
      <c r="I94" s="22" t="s">
        <v>54</v>
      </c>
      <c r="J94" s="19"/>
      <c r="K94" s="15" t="s">
        <v>294</v>
      </c>
      <c r="L94" s="23"/>
      <c r="M94" s="24"/>
      <c r="N94" s="23"/>
      <c r="O94" s="23"/>
      <c r="P94" s="22" t="s">
        <v>233</v>
      </c>
      <c r="Q94" s="17"/>
      <c r="R94" s="25" t="s">
        <v>306</v>
      </c>
      <c r="S94" s="17"/>
      <c r="T94" s="17"/>
      <c r="U94" s="17"/>
      <c r="V94" s="17"/>
      <c r="W94" s="26"/>
      <c r="X94" s="26"/>
      <c r="Y94" s="27"/>
      <c r="Z94" s="17"/>
      <c r="AA94" s="17"/>
      <c r="AB94" s="17"/>
      <c r="AC94" s="17"/>
      <c r="AD94" s="26"/>
      <c r="AE94" s="26"/>
      <c r="AF94" s="27"/>
      <c r="AG94" s="17"/>
      <c r="AH94" s="28"/>
      <c r="AI94" s="17"/>
      <c r="AJ94" s="17"/>
      <c r="AK94" s="26"/>
      <c r="AL94" s="26"/>
      <c r="AM94" s="27"/>
      <c r="AN94" s="17"/>
      <c r="AO94" s="17"/>
      <c r="AP94" s="17"/>
      <c r="AQ94" s="17"/>
      <c r="AR94" s="26"/>
      <c r="AS94" s="26"/>
      <c r="AT94" s="27"/>
      <c r="AU94" s="17"/>
      <c r="AV94" s="17"/>
      <c r="AW94" s="17"/>
      <c r="AX94" s="17"/>
      <c r="AY94" s="26"/>
      <c r="AZ94" s="26"/>
      <c r="BA94" s="27"/>
      <c r="BB94" s="17"/>
      <c r="BC94" s="17"/>
      <c r="BD94" s="17"/>
      <c r="BE94" s="17"/>
      <c r="BF94" s="26"/>
      <c r="BG94" s="26"/>
      <c r="BH94" s="27"/>
      <c r="BI94" s="17"/>
      <c r="BJ94" s="17"/>
      <c r="BK94" s="17"/>
      <c r="BL94" s="17"/>
      <c r="BM94" s="26"/>
      <c r="BN94" s="26"/>
      <c r="BO94" s="27"/>
      <c r="BP94" s="17"/>
      <c r="BQ94" s="17"/>
      <c r="BR94" s="17"/>
      <c r="BS94" s="17"/>
      <c r="BT94" s="26"/>
      <c r="BU94" s="26"/>
      <c r="BV94" s="27"/>
      <c r="BW94" s="17"/>
      <c r="BX94" s="17"/>
      <c r="BY94" s="17"/>
      <c r="BZ94" s="17"/>
      <c r="CA94" s="26"/>
      <c r="CB94" s="26"/>
    </row>
  </sheetData>
  <autoFilter ref="A4:P94"/>
  <mergeCells count="10">
    <mergeCell ref="A3:P3"/>
    <mergeCell ref="R3:X3"/>
    <mergeCell ref="Y3:AE3"/>
    <mergeCell ref="AF3:AL3"/>
    <mergeCell ref="AM3:AS3"/>
    <mergeCell ref="AT3:AZ3"/>
    <mergeCell ref="BA3:BG3"/>
    <mergeCell ref="BH3:BN3"/>
    <mergeCell ref="BO3:BU3"/>
    <mergeCell ref="BV3:CB3"/>
  </mergeCells>
  <conditionalFormatting sqref="R5:CB94">
    <cfRule type="expression" priority="2" aboveAverage="0" equalAverage="0" bottom="0" percent="0" rank="0" text="" dxfId="18">
      <formula>AND(ISNUMBER($L5),ISNUMBER($O5),R$4&gt;=$L5,R$4&lt;=$O5,$P5="")</formula>
    </cfRule>
    <cfRule type="expression" priority="3" aboveAverage="0" equalAverage="0" bottom="0" percent="0" rank="0" text="" dxfId="19">
      <formula>AND(ISNUMBER($L5),ISNUMBER($O5),R$4&gt;=$L5,R$4&lt;=$O5,$H5="Uvicuo",$P5="Acordada")</formula>
    </cfRule>
    <cfRule type="expression" priority="4" aboveAverage="0" equalAverage="0" bottom="0" percent="0" rank="0" text="" dxfId="20">
      <formula>AND(ISNUMBER($L5),ISNUMBER($O5),R$4&gt;=$L5,R$4&lt;=$O5,$H5="Uvicuo",$P5="Propuesta")</formula>
    </cfRule>
    <cfRule type="expression" priority="5" aboveAverage="0" equalAverage="0" bottom="0" percent="0" rank="0" text="" dxfId="21">
      <formula>AND(ISNUMBER($L5),ISNUMBER($O5),R$4&gt;=$L5,R$4&lt;=$O5,$H5="Grupo Bimbo",$P5="Acordada")</formula>
    </cfRule>
    <cfRule type="expression" priority="6" aboveAverage="0" equalAverage="0" bottom="0" percent="0" rank="0" text="" dxfId="22">
      <formula>AND(ISNUMBER($L5),ISNUMBER($O5),R$4&gt;=$L5,R$4&lt;=$O5,$H5="Grupo Bimbo",$P5="Propuesta")</formula>
    </cfRule>
    <cfRule type="expression" priority="7" aboveAverage="0" equalAverage="0" bottom="0" percent="0" rank="0" text="" dxfId="23">
      <formula>AND(ISNUMBER($L5),ISNUMBER($O5),R$4&gt;=$L5,R$4&lt;=$O5,$H5="Tesorería",$P5="Acordada")</formula>
    </cfRule>
    <cfRule type="expression" priority="8" aboveAverage="0" equalAverage="0" bottom="0" percent="0" rank="0" text="" dxfId="24">
      <formula>AND(ISNUMBER($L5),ISNUMBER($O5),R$4&gt;=$L5,R$4&lt;=$O5,$H5="Tesorería",$P5="Propuesta")</formula>
    </cfRule>
    <cfRule type="expression" priority="9" aboveAverage="0" equalAverage="0" bottom="0" percent="0" rank="0" text="" dxfId="25">
      <formula>AND(ISNUMBER($L5),ISNUMBER($O5),R$4&gt;=$L5,R$4&lt;=$O5,$H5="Operación Bimbo",$P5="Acordada")</formula>
    </cfRule>
    <cfRule type="expression" priority="10" aboveAverage="0" equalAverage="0" bottom="0" percent="0" rank="0" text="" dxfId="26">
      <formula>AND(ISNUMBER($L5),ISNUMBER($O5),R$4&gt;=$L5,R$4&lt;=$O5,$H5="Operación Bimbo",$P5="Propuesta")</formula>
    </cfRule>
    <cfRule type="expression" priority="11" aboveAverage="0" equalAverage="0" bottom="0" percent="0" rank="0" text="" dxfId="27">
      <formula>AND(ISNUMBER($L5),ISNUMBER($O5),R$4&gt;=$L5,R$4&lt;=$O5,$H5="Operación Barcel",$P5="Acordada")</formula>
    </cfRule>
    <cfRule type="expression" priority="12" aboveAverage="0" equalAverage="0" bottom="0" percent="0" rank="0" text="" dxfId="28">
      <formula>AND(ISNUMBER($L5),ISNUMBER($O5),R$4&gt;=$L5,R$4&lt;=$O5,$H5="Operación Barcel",$P5="Propuesta")</formula>
    </cfRule>
    <cfRule type="expression" priority="13" aboveAverage="0" equalAverage="0" bottom="0" percent="0" rank="0" text="" dxfId="29">
      <formula>AND(ISNUMBER($L5),ISNUMBER($O5),R$4&gt;=$L5,R$4&lt;=$O5,$H5="Televía",$P5="Acordada")</formula>
    </cfRule>
    <cfRule type="expression" priority="14" aboveAverage="0" equalAverage="0" bottom="0" percent="0" rank="0" text="" dxfId="30">
      <formula>AND(ISNUMBER($L5),ISNUMBER($O5),R$4&gt;=$L5,R$4&lt;=$O5,$H5="Televía",$P5="Propuesta")</formula>
    </cfRule>
    <cfRule type="expression" priority="15" aboveAverage="0" equalAverage="0" bottom="0" percent="0" rank="0" text="" dxfId="31">
      <formula>AND(ISNUMBER($L5),ISNUMBER($O5),R$4&gt;=$L5,R$4&lt;=$O5,$H5="Aliado",$P5="Acordada")</formula>
    </cfRule>
    <cfRule type="expression" priority="16" aboveAverage="0" equalAverage="0" bottom="0" percent="0" rank="0" text="" dxfId="32">
      <formula>AND(ISNUMBER($L5),ISNUMBER($O5),R$4&gt;=$L5,R$4&lt;=$O5,$H5="Aliado",$P5="Propuesta")</formula>
    </cfRule>
  </conditionalFormatting>
  <conditionalFormatting sqref="R4:CB94">
    <cfRule type="expression" priority="17" aboveAverage="0" equalAverage="0" bottom="0" percent="0" rank="0" text="" dxfId="33">
      <formula>R$4=TODAY()</formula>
    </cfRule>
  </conditionalFormatting>
  <conditionalFormatting sqref="O5:O94">
    <cfRule type="expression" priority="18" aboveAverage="0" equalAverage="0" bottom="0" percent="0" rank="0" text="" dxfId="34">
      <formula>OR(AND(ISNUMBER($O5),$O5&lt;TODAY(),$I5&lt;&gt;"Listo",$I5&lt;&gt;"Cumplido",$H5&lt;&gt;""),AND($P5="Acordada",ISNUMBER($L5),ISNUMBER($M5),$L5+$M5-1&gt;$O5))</formula>
    </cfRule>
  </conditionalFormatting>
  <conditionalFormatting sqref="B5:D94">
    <cfRule type="expression" priority="19" aboveAverage="0" equalAverage="0" bottom="0" percent="0" rank="0" text="" dxfId="35">
      <formula>OR(AND(ISNUMBER($O5),$O5&lt;TODAY(),$I5&lt;&gt;"Listo",$I5&lt;&gt;"Cumplido",$H5&lt;&gt;""),AND($P5="Acordada",ISNUMBER($L5),ISNUMBER($M5),$L5+$M5-1&gt;$O5))</formula>
    </cfRule>
  </conditionalFormatting>
  <conditionalFormatting sqref="B18:D18 O18 R18:CB18">
    <cfRule type="expression" priority="20" aboveAverage="0" equalAverage="0" bottom="0" percent="0" rank="0" text="" dxfId="35">
      <formula>MAX($O$9:$O$17)&gt;$O$18</formula>
    </cfRule>
  </conditionalFormatting>
  <conditionalFormatting sqref="B27:D27 O27 R27:CB27">
    <cfRule type="expression" priority="21" aboveAverage="0" equalAverage="0" bottom="0" percent="0" rank="0" text="" dxfId="35">
      <formula>MAX($O$21:$O$26)&gt;$O$27</formula>
    </cfRule>
  </conditionalFormatting>
  <conditionalFormatting sqref="B67:D67 O67 R67:CB67">
    <cfRule type="expression" priority="22" aboveAverage="0" equalAverage="0" bottom="0" percent="0" rank="0" text="" dxfId="35">
      <formula>MAX($O$30:$O$66)&gt;$O$67</formula>
    </cfRule>
  </conditionalFormatting>
  <conditionalFormatting sqref="B70:D70 O70 R70:CB70">
    <cfRule type="expression" priority="23" aboveAverage="0" equalAverage="0" bottom="0" percent="0" rank="0" text="" dxfId="35">
      <formula>MAX($O$71:$O$74)&gt;$O$70</formula>
    </cfRule>
  </conditionalFormatting>
  <conditionalFormatting sqref="H5:H94">
    <cfRule type="expression" priority="24" aboveAverage="0" equalAverage="0" bottom="0" percent="0" rank="0" text="" dxfId="36">
      <formula>$H5="Uvicuo"</formula>
    </cfRule>
    <cfRule type="expression" priority="25" aboveAverage="0" equalAverage="0" bottom="0" percent="0" rank="0" text="" dxfId="37">
      <formula>$H5="Grupo Bimbo"</formula>
    </cfRule>
    <cfRule type="expression" priority="26" aboveAverage="0" equalAverage="0" bottom="0" percent="0" rank="0" text="" dxfId="38">
      <formula>$H5="Tesorería"</formula>
    </cfRule>
    <cfRule type="expression" priority="27" aboveAverage="0" equalAverage="0" bottom="0" percent="0" rank="0" text="" dxfId="39">
      <formula>$H5="Operación Bimbo"</formula>
    </cfRule>
    <cfRule type="expression" priority="28" aboveAverage="0" equalAverage="0" bottom="0" percent="0" rank="0" text="" dxfId="40">
      <formula>$H5="Operación Barcel"</formula>
    </cfRule>
    <cfRule type="expression" priority="29" aboveAverage="0" equalAverage="0" bottom="0" percent="0" rank="0" text="" dxfId="41">
      <formula>$H5="Televía"</formula>
    </cfRule>
    <cfRule type="expression" priority="30" aboveAverage="0" equalAverage="0" bottom="0" percent="0" rank="0" text="" dxfId="42">
      <formula>$H5="Aliado"</formula>
    </cfRule>
  </conditionalFormatting>
  <conditionalFormatting sqref="I5:I94">
    <cfRule type="expression" priority="31" aboveAverage="0" equalAverage="0" bottom="0" percent="0" rank="0" text="" dxfId="43">
      <formula>$I5="Listo"</formula>
    </cfRule>
    <cfRule type="expression" priority="32" aboveAverage="0" equalAverage="0" bottom="0" percent="0" rank="0" text="" dxfId="44">
      <formula>OR($I5="En curso",$I5="En firma")</formula>
    </cfRule>
  </conditionalFormatting>
  <conditionalFormatting sqref="P5:P94">
    <cfRule type="expression" priority="33" aboveAverage="0" equalAverage="0" bottom="0" percent="0" rank="0" text="" dxfId="44">
      <formula>$P5="Acordada"</formula>
    </cfRule>
    <cfRule type="expression" priority="34" aboveAverage="0" equalAverage="0" bottom="0" percent="0" rank="0" text="" dxfId="45">
      <formula>$P5="Sin fecha"</formula>
    </cfRule>
  </conditionalFormatting>
  <dataValidations count="3">
    <dataValidation allowBlank="true" errorStyle="stop" operator="between" showDropDown="false" showErrorMessage="false" showInputMessage="false" sqref="H5:H94" type="list">
      <formula1>"Uvicuo,Grupo Bimbo,Tesorería,Operación Bimbo,Operación Barcel,Televía,Aliado"</formula1>
      <formula2>0</formula2>
    </dataValidation>
    <dataValidation allowBlank="true" errorStyle="stop" operator="between" showDropDown="false" showErrorMessage="false" showInputMessage="false" sqref="I5:I94" type="list">
      <formula1>"Por iniciar,En curso,En firma,Listo"</formula1>
      <formula2>0</formula2>
    </dataValidation>
    <dataValidation allowBlank="true" errorStyle="stop" operator="between" showDropDown="false" showErrorMessage="false" showInputMessage="false" sqref="P5:P94" type="list">
      <formula1>"Acordada,Propuesta,Sin fecha"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FB43A"/>
    <pageSetUpPr fitToPage="false"/>
  </sheetPr>
  <dimension ref="B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50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42"/>
    <col collapsed="false" customWidth="true" hidden="false" outlineLevel="0" max="7" min="7" style="0" width="32"/>
  </cols>
  <sheetData>
    <row r="2" customFormat="false" ht="27.75" hidden="false" customHeight="true" outlineLevel="0" collapsed="false">
      <c r="B2" s="52" t="s">
        <v>307</v>
      </c>
    </row>
    <row r="3" customFormat="false" ht="15" hidden="false" customHeight="false" outlineLevel="0" collapsed="false">
      <c r="B3" s="53" t="s">
        <v>308</v>
      </c>
    </row>
    <row r="5" customFormat="false" ht="19.5" hidden="false" customHeight="true" outlineLevel="0" collapsed="false">
      <c r="B5" s="54" t="s">
        <v>309</v>
      </c>
    </row>
    <row r="6" customFormat="false" ht="15" hidden="false" customHeight="false" outlineLevel="0" collapsed="false">
      <c r="B6" s="55"/>
      <c r="C6" s="55" t="s">
        <v>310</v>
      </c>
      <c r="D6" s="55" t="s">
        <v>17</v>
      </c>
      <c r="E6" s="55" t="s">
        <v>311</v>
      </c>
      <c r="F6" s="55" t="s">
        <v>312</v>
      </c>
      <c r="G6" s="55" t="s">
        <v>313</v>
      </c>
    </row>
    <row r="7" customFormat="false" ht="25.5" hidden="false" customHeight="true" outlineLevel="0" collapsed="false">
      <c r="B7" s="56" t="s">
        <v>40</v>
      </c>
      <c r="C7" s="57" t="s">
        <v>314</v>
      </c>
      <c r="D7" s="58" t="s">
        <v>315</v>
      </c>
      <c r="E7" s="58" t="s">
        <v>316</v>
      </c>
      <c r="F7" s="58" t="s">
        <v>317</v>
      </c>
      <c r="G7" s="58"/>
    </row>
    <row r="8" customFormat="false" ht="25.5" hidden="false" customHeight="true" outlineLevel="0" collapsed="false">
      <c r="B8" s="56" t="s">
        <v>76</v>
      </c>
      <c r="C8" s="57" t="s">
        <v>318</v>
      </c>
      <c r="D8" s="58" t="s">
        <v>319</v>
      </c>
      <c r="E8" s="58" t="s">
        <v>320</v>
      </c>
      <c r="F8" s="58" t="s">
        <v>321</v>
      </c>
      <c r="G8" s="58"/>
    </row>
    <row r="9" customFormat="false" ht="25.5" hidden="false" customHeight="true" outlineLevel="0" collapsed="false">
      <c r="B9" s="56" t="s">
        <v>99</v>
      </c>
      <c r="C9" s="57" t="s">
        <v>322</v>
      </c>
      <c r="D9" s="59" t="s">
        <v>75</v>
      </c>
      <c r="E9" s="58" t="s">
        <v>323</v>
      </c>
      <c r="F9" s="58" t="s">
        <v>324</v>
      </c>
      <c r="G9" s="58"/>
    </row>
    <row r="10" customFormat="false" ht="25.5" hidden="false" customHeight="true" outlineLevel="0" collapsed="false">
      <c r="B10" s="56" t="s">
        <v>221</v>
      </c>
      <c r="C10" s="57" t="s">
        <v>325</v>
      </c>
      <c r="D10" s="60" t="s">
        <v>228</v>
      </c>
      <c r="E10" s="58" t="s">
        <v>326</v>
      </c>
      <c r="F10" s="58" t="s">
        <v>327</v>
      </c>
      <c r="G10" s="58"/>
    </row>
    <row r="14" customFormat="false" ht="19.5" hidden="false" customHeight="true" outlineLevel="0" collapsed="false">
      <c r="B14" s="54" t="s">
        <v>328</v>
      </c>
    </row>
    <row r="15" customFormat="false" ht="15" hidden="false" customHeight="false" outlineLevel="0" collapsed="false">
      <c r="B15" s="55"/>
      <c r="C15" s="55" t="s">
        <v>310</v>
      </c>
      <c r="D15" s="55" t="s">
        <v>17</v>
      </c>
      <c r="E15" s="55" t="s">
        <v>311</v>
      </c>
      <c r="F15" s="55" t="s">
        <v>312</v>
      </c>
      <c r="G15" s="55" t="s">
        <v>313</v>
      </c>
    </row>
    <row r="16" customFormat="false" ht="25.5" hidden="false" customHeight="true" outlineLevel="0" collapsed="false">
      <c r="B16" s="56" t="s">
        <v>40</v>
      </c>
      <c r="C16" s="57" t="s">
        <v>329</v>
      </c>
      <c r="D16" s="61" t="s">
        <v>31</v>
      </c>
      <c r="E16" s="58" t="s">
        <v>330</v>
      </c>
      <c r="F16" s="58" t="s">
        <v>331</v>
      </c>
      <c r="G16" s="58" t="s">
        <v>332</v>
      </c>
    </row>
    <row r="17" customFormat="false" ht="25.5" hidden="false" customHeight="true" outlineLevel="0" collapsed="false">
      <c r="B17" s="56" t="s">
        <v>76</v>
      </c>
      <c r="C17" s="57" t="s">
        <v>333</v>
      </c>
      <c r="D17" s="60" t="s">
        <v>228</v>
      </c>
      <c r="E17" s="58" t="s">
        <v>334</v>
      </c>
      <c r="F17" s="58" t="s">
        <v>335</v>
      </c>
      <c r="G17" s="58"/>
    </row>
    <row r="18" customFormat="false" ht="25.5" hidden="false" customHeight="true" outlineLevel="0" collapsed="false">
      <c r="B18" s="56" t="s">
        <v>99</v>
      </c>
      <c r="C18" s="57" t="s">
        <v>336</v>
      </c>
      <c r="D18" s="62" t="s">
        <v>132</v>
      </c>
      <c r="E18" s="58" t="s">
        <v>337</v>
      </c>
      <c r="F18" s="58" t="s">
        <v>338</v>
      </c>
      <c r="G18" s="58"/>
    </row>
    <row r="19" customFormat="false" ht="25.5" hidden="false" customHeight="true" outlineLevel="0" collapsed="false">
      <c r="B19" s="56" t="s">
        <v>221</v>
      </c>
      <c r="C19" s="57" t="s">
        <v>339</v>
      </c>
      <c r="D19" s="58" t="s">
        <v>340</v>
      </c>
      <c r="E19" s="58" t="s">
        <v>341</v>
      </c>
      <c r="F19" s="58" t="s">
        <v>342</v>
      </c>
      <c r="G19" s="58" t="s">
        <v>343</v>
      </c>
    </row>
    <row r="20" customFormat="false" ht="25.5" hidden="false" customHeight="true" outlineLevel="0" collapsed="false">
      <c r="B20" s="56" t="s">
        <v>244</v>
      </c>
      <c r="C20" s="57" t="s">
        <v>344</v>
      </c>
      <c r="D20" s="60" t="s">
        <v>228</v>
      </c>
      <c r="E20" s="58" t="s">
        <v>334</v>
      </c>
      <c r="F20" s="58" t="s">
        <v>345</v>
      </c>
      <c r="G20" s="58" t="s">
        <v>346</v>
      </c>
    </row>
    <row r="22" customFormat="false" ht="15" hidden="false" customHeight="false" outlineLevel="0" collapsed="false">
      <c r="C22" s="63" t="s">
        <v>347</v>
      </c>
    </row>
    <row r="23" customFormat="false" ht="15" hidden="false" customHeight="false" outlineLevel="0" collapsed="false">
      <c r="C23" s="64" t="s">
        <v>348</v>
      </c>
    </row>
    <row r="24" customFormat="false" ht="15" hidden="false" customHeight="false" outlineLevel="0" collapsed="false">
      <c r="C24" s="64" t="s">
        <v>349</v>
      </c>
    </row>
    <row r="25" customFormat="false" ht="15" hidden="false" customHeight="false" outlineLevel="0" collapsed="false">
      <c r="C25" s="64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9880"/>
    <pageSetUpPr fitToPage="false"/>
  </sheetPr>
  <dimension ref="B2:C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70"/>
  </cols>
  <sheetData>
    <row r="2" customFormat="false" ht="27.75" hidden="false" customHeight="true" outlineLevel="0" collapsed="false">
      <c r="B2" s="52" t="s">
        <v>351</v>
      </c>
    </row>
    <row r="4" customFormat="false" ht="24" hidden="false" customHeight="true" outlineLevel="0" collapsed="false">
      <c r="B4" s="65" t="s">
        <v>40</v>
      </c>
      <c r="C4" s="66" t="s">
        <v>352</v>
      </c>
    </row>
    <row r="5" customFormat="false" ht="24" hidden="false" customHeight="true" outlineLevel="0" collapsed="false">
      <c r="B5" s="65" t="s">
        <v>76</v>
      </c>
      <c r="C5" s="66" t="s">
        <v>353</v>
      </c>
    </row>
    <row r="6" customFormat="false" ht="24" hidden="false" customHeight="true" outlineLevel="0" collapsed="false">
      <c r="B6" s="65" t="s">
        <v>99</v>
      </c>
      <c r="C6" s="66" t="s">
        <v>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2026-10-29T20:11:28Z</dcterms:created>
  <dc:creator>openpyxl</dc:creator>
  <dc:description/>
  <dc:language>es-MX</dc:language>
  <cp:lastModifiedBy/>
  <dcterms:modified xsi:type="dcterms:W3CDTF">2026-10-29T20:11:28Z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